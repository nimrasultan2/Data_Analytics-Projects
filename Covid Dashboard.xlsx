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ivot Table" sheetId="2" r:id="rId6"/>
    <sheet state="visible" name="DashBoard" sheetId="3" r:id="rId7"/>
  </sheets>
  <definedNames>
    <definedName hidden="1" localSheetId="0" name="_xlnm._FilterDatabase">Data!$A$1:$N$188</definedName>
    <definedName hidden="1" localSheetId="1" name="_xlnm._FilterDatabase">'Pivot Table'!$J$1:$L$188</definedName>
  </definedNames>
  <calcPr/>
</workbook>
</file>

<file path=xl/sharedStrings.xml><?xml version="1.0" encoding="utf-8"?>
<sst xmlns="http://schemas.openxmlformats.org/spreadsheetml/2006/main" count="864" uniqueCount="212">
  <si>
    <t>Country/Region</t>
  </si>
  <si>
    <t>Confirmed</t>
  </si>
  <si>
    <t>Deaths</t>
  </si>
  <si>
    <t>Recovered</t>
  </si>
  <si>
    <t>Active</t>
  </si>
  <si>
    <t>Active Cases Rate</t>
  </si>
  <si>
    <t>Death Rate</t>
  </si>
  <si>
    <t>New cases</t>
  </si>
  <si>
    <t>New deaths</t>
  </si>
  <si>
    <t>New recovered</t>
  </si>
  <si>
    <t>Deaths / 100 Cases</t>
  </si>
  <si>
    <t>Recovered / 100 Cases</t>
  </si>
  <si>
    <t>Deaths / 100 Recovered</t>
  </si>
  <si>
    <t>Confirmed last week</t>
  </si>
  <si>
    <t>US</t>
  </si>
  <si>
    <t>AVERAGE</t>
  </si>
  <si>
    <t>Brazil</t>
  </si>
  <si>
    <t>India</t>
  </si>
  <si>
    <t>Russia</t>
  </si>
  <si>
    <t>South Africa</t>
  </si>
  <si>
    <t>Mexico</t>
  </si>
  <si>
    <t>HIGH</t>
  </si>
  <si>
    <t>Peru</t>
  </si>
  <si>
    <t>Chile</t>
  </si>
  <si>
    <t>United Kingdom</t>
  </si>
  <si>
    <t>Iran</t>
  </si>
  <si>
    <t>Pakistan</t>
  </si>
  <si>
    <t>Spain</t>
  </si>
  <si>
    <t>Saudi Arabia</t>
  </si>
  <si>
    <t>Colombia</t>
  </si>
  <si>
    <t>Italy</t>
  </si>
  <si>
    <t>Turkey</t>
  </si>
  <si>
    <t>Bangladesh</t>
  </si>
  <si>
    <t>France</t>
  </si>
  <si>
    <t>Germany</t>
  </si>
  <si>
    <t>Argentina</t>
  </si>
  <si>
    <t>Canada</t>
  </si>
  <si>
    <t>inf</t>
  </si>
  <si>
    <t>Iraq</t>
  </si>
  <si>
    <t>Qatar</t>
  </si>
  <si>
    <t>Indonesia</t>
  </si>
  <si>
    <t>Egypt</t>
  </si>
  <si>
    <t>China</t>
  </si>
  <si>
    <t>Kazakhstan</t>
  </si>
  <si>
    <t>Philippines</t>
  </si>
  <si>
    <t>Ecuador</t>
  </si>
  <si>
    <t>Sweden</t>
  </si>
  <si>
    <t>Oman</t>
  </si>
  <si>
    <t>Bolivia</t>
  </si>
  <si>
    <t>Belarus</t>
  </si>
  <si>
    <t>Ukraine</t>
  </si>
  <si>
    <t>Belgium</t>
  </si>
  <si>
    <t>Kuwait</t>
  </si>
  <si>
    <t>Dominican Republic</t>
  </si>
  <si>
    <t>Israel</t>
  </si>
  <si>
    <t>Panama</t>
  </si>
  <si>
    <t>United Arab Emirates</t>
  </si>
  <si>
    <t>Netherlands</t>
  </si>
  <si>
    <t>Singapore</t>
  </si>
  <si>
    <t>Portugal</t>
  </si>
  <si>
    <t>Romania</t>
  </si>
  <si>
    <t>Guatemala</t>
  </si>
  <si>
    <t>Poland</t>
  </si>
  <si>
    <t>Nigeria</t>
  </si>
  <si>
    <t>Honduras</t>
  </si>
  <si>
    <t>Bahrain</t>
  </si>
  <si>
    <t>Armenia</t>
  </si>
  <si>
    <t>Afghanistan</t>
  </si>
  <si>
    <t>Switzerland</t>
  </si>
  <si>
    <t>Ghana</t>
  </si>
  <si>
    <t>Kyrgyzstan</t>
  </si>
  <si>
    <t>Japan</t>
  </si>
  <si>
    <t>Azerbaijan</t>
  </si>
  <si>
    <t>Algeria</t>
  </si>
  <si>
    <t>Ireland</t>
  </si>
  <si>
    <t>Serbia</t>
  </si>
  <si>
    <t>Moldova</t>
  </si>
  <si>
    <t>Uzbekistan</t>
  </si>
  <si>
    <t>Morocco</t>
  </si>
  <si>
    <t>Austria</t>
  </si>
  <si>
    <t>Nepal</t>
  </si>
  <si>
    <t>Kenya</t>
  </si>
  <si>
    <t>Cameroon</t>
  </si>
  <si>
    <t>Venezuela</t>
  </si>
  <si>
    <t>Costa Rica</t>
  </si>
  <si>
    <t>Cote d'Ivoire</t>
  </si>
  <si>
    <t>Czechia</t>
  </si>
  <si>
    <t>Australia</t>
  </si>
  <si>
    <t>El Salvador</t>
  </si>
  <si>
    <t>Ethiopia</t>
  </si>
  <si>
    <t>South Korea</t>
  </si>
  <si>
    <t>Denmark</t>
  </si>
  <si>
    <t>Sudan</t>
  </si>
  <si>
    <t>Bulgaria</t>
  </si>
  <si>
    <t>West Bank and Gaza</t>
  </si>
  <si>
    <t>Bosnia and Herzegovina</t>
  </si>
  <si>
    <t>North Macedonia</t>
  </si>
  <si>
    <t>Senegal</t>
  </si>
  <si>
    <t>Madagascar</t>
  </si>
  <si>
    <t>Norway</t>
  </si>
  <si>
    <t>Malaysia</t>
  </si>
  <si>
    <t>Congo (Kinshasa)</t>
  </si>
  <si>
    <t>Kosovo</t>
  </si>
  <si>
    <t>Finland</t>
  </si>
  <si>
    <t>Haiti</t>
  </si>
  <si>
    <t>Tajikistan</t>
  </si>
  <si>
    <t>Gabon</t>
  </si>
  <si>
    <t>Guinea</t>
  </si>
  <si>
    <t>Luxembourg</t>
  </si>
  <si>
    <t>Mauritania</t>
  </si>
  <si>
    <t>Djibouti</t>
  </si>
  <si>
    <t>Croatia</t>
  </si>
  <si>
    <t>Albania</t>
  </si>
  <si>
    <t>Central African Republic</t>
  </si>
  <si>
    <t>Zambia</t>
  </si>
  <si>
    <t>Paraguay</t>
  </si>
  <si>
    <t>Hungary</t>
  </si>
  <si>
    <t>Greece</t>
  </si>
  <si>
    <t>Lebanon</t>
  </si>
  <si>
    <t>Malawi</t>
  </si>
  <si>
    <t>Nicaragua</t>
  </si>
  <si>
    <t>Maldives</t>
  </si>
  <si>
    <t>Thailand</t>
  </si>
  <si>
    <t>Congo (Brazzaville)</t>
  </si>
  <si>
    <t>Somalia</t>
  </si>
  <si>
    <t>Equatorial Guinea</t>
  </si>
  <si>
    <t>Montenegro</t>
  </si>
  <si>
    <t>Libya</t>
  </si>
  <si>
    <t>Sri Lanka</t>
  </si>
  <si>
    <t>Zimbabwe</t>
  </si>
  <si>
    <t>Cuba</t>
  </si>
  <si>
    <t>Mali</t>
  </si>
  <si>
    <t>Cabo Verde</t>
  </si>
  <si>
    <t>Eswatini</t>
  </si>
  <si>
    <t>South Sudan</t>
  </si>
  <si>
    <t>Slovakia</t>
  </si>
  <si>
    <t>Slovenia</t>
  </si>
  <si>
    <t>Estonia</t>
  </si>
  <si>
    <t>Lithuania</t>
  </si>
  <si>
    <t>Guinea-Bissau</t>
  </si>
  <si>
    <t>Rwanda</t>
  </si>
  <si>
    <t>Iceland</t>
  </si>
  <si>
    <t>Namibia</t>
  </si>
  <si>
    <t>Sierra Leone</t>
  </si>
  <si>
    <t>Benin</t>
  </si>
  <si>
    <t>Mozambique</t>
  </si>
  <si>
    <t>Yemen</t>
  </si>
  <si>
    <t>New Zealand</t>
  </si>
  <si>
    <t>Suriname</t>
  </si>
  <si>
    <t>Tunisia</t>
  </si>
  <si>
    <t>Latvia</t>
  </si>
  <si>
    <t>Uruguay</t>
  </si>
  <si>
    <t>Jordan</t>
  </si>
  <si>
    <t>Liberia</t>
  </si>
  <si>
    <t>Georgia</t>
  </si>
  <si>
    <t>Niger</t>
  </si>
  <si>
    <t>Uganda</t>
  </si>
  <si>
    <t>Burkina Faso</t>
  </si>
  <si>
    <t>Cyprus</t>
  </si>
  <si>
    <t>Angola</t>
  </si>
  <si>
    <t>Chad</t>
  </si>
  <si>
    <t>Andorra</t>
  </si>
  <si>
    <t>Togo</t>
  </si>
  <si>
    <t>Sao Tome and Principe</t>
  </si>
  <si>
    <t>Jamaica</t>
  </si>
  <si>
    <t>Botswana</t>
  </si>
  <si>
    <t>Malta</t>
  </si>
  <si>
    <t>San Marino</t>
  </si>
  <si>
    <t>Syria</t>
  </si>
  <si>
    <t>Tanzania</t>
  </si>
  <si>
    <t>Lesotho</t>
  </si>
  <si>
    <t>Taiwan*</t>
  </si>
  <si>
    <t>Vietnam</t>
  </si>
  <si>
    <t>Guyana</t>
  </si>
  <si>
    <t>Bahamas</t>
  </si>
  <si>
    <t>Burundi</t>
  </si>
  <si>
    <t>Comoros</t>
  </si>
  <si>
    <t>Burma</t>
  </si>
  <si>
    <t>Mauritius</t>
  </si>
  <si>
    <t>Gambia</t>
  </si>
  <si>
    <t>Mongolia</t>
  </si>
  <si>
    <t>Eritrea</t>
  </si>
  <si>
    <t>Cambodia</t>
  </si>
  <si>
    <t>Trinidad and Tobago</t>
  </si>
  <si>
    <t>Brunei</t>
  </si>
  <si>
    <t>Monaco</t>
  </si>
  <si>
    <t>Seychelles</t>
  </si>
  <si>
    <t>Barbados</t>
  </si>
  <si>
    <t>Bhutan</t>
  </si>
  <si>
    <t>Antigua and Barbuda</t>
  </si>
  <si>
    <t>Liechtenstein</t>
  </si>
  <si>
    <t>Papua New Guinea</t>
  </si>
  <si>
    <t>Saint Vincent and the Grenadines</t>
  </si>
  <si>
    <t>Belize</t>
  </si>
  <si>
    <t>Fiji</t>
  </si>
  <si>
    <t>Saint Lucia</t>
  </si>
  <si>
    <t>Timor-Leste</t>
  </si>
  <si>
    <t>Grenada</t>
  </si>
  <si>
    <t>Laos</t>
  </si>
  <si>
    <t>Dominica</t>
  </si>
  <si>
    <t>Saint Kitts and Nevis</t>
  </si>
  <si>
    <t>Greenland</t>
  </si>
  <si>
    <t>Holy See</t>
  </si>
  <si>
    <t>Western Sahara</t>
  </si>
  <si>
    <t>Sum of Deaths</t>
  </si>
  <si>
    <t>Grand Total</t>
  </si>
  <si>
    <t xml:space="preserve">                                      COVID-19 Global Dashboard</t>
  </si>
  <si>
    <t>Global Death Rate %</t>
  </si>
  <si>
    <t>Global Recovery Rate %</t>
  </si>
  <si>
    <t xml:space="preserve"> Active Case Rate %</t>
  </si>
  <si>
    <t>Dangerous Country</t>
  </si>
  <si>
    <t>Safest Country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</si>
</sst>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47.0"/>
      <color rgb="FFFFFFFF"/>
      <name val="Arial"/>
    </font>
    <font>
      <b/>
      <sz val="13.0"/>
      <color rgb="FFFFFFFF"/>
      <name val="Arial"/>
      <scheme val="minor"/>
    </font>
    <font>
      <sz val="15.0"/>
      <color theme="1"/>
      <name val="Arial"/>
      <scheme val="minor"/>
    </font>
    <font>
      <b/>
      <sz val="28.0"/>
      <color rgb="FF85200C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85200C"/>
        <bgColor rgb="FF85200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horizontal="left" readingOrder="0" vertical="center"/>
    </xf>
    <xf borderId="0" fillId="4" fontId="6" numFmtId="0" xfId="0" applyAlignment="1" applyFill="1" applyFont="1">
      <alignment horizontal="left" readingOrder="0" vertical="center"/>
    </xf>
    <xf borderId="1" fillId="3" fontId="7" numFmtId="0" xfId="0" applyAlignment="1" applyBorder="1" applyFont="1">
      <alignment horizontal="center" readingOrder="0" shrinkToFit="0" vertical="center" wrapText="0"/>
    </xf>
    <xf borderId="0" fillId="5" fontId="8" numFmtId="0" xfId="0" applyAlignment="1" applyFill="1" applyFont="1">
      <alignment horizontal="left"/>
    </xf>
    <xf borderId="1" fillId="4" fontId="9" numFmtId="10" xfId="0" applyAlignment="1" applyBorder="1" applyFont="1" applyNumberFormat="1">
      <alignment horizontal="center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9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Which country was most deadly per case?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Table'!$A$2:$A$188</c:f>
            </c:strRef>
          </c:cat>
          <c:val>
            <c:numRef>
              <c:f>'Pivot Table'!$B$2:$B$188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10 Countries by Mortality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Table'!$P$1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Table'!$O$2:$O$11</c:f>
            </c:strRef>
          </c:cat>
          <c:val>
            <c:numRef>
              <c:f>'Pivot Table'!$P$2:$P$11</c:f>
              <c:numCache/>
            </c:numRef>
          </c:val>
        </c:ser>
        <c:axId val="636588466"/>
        <c:axId val="1276342968"/>
      </c:barChart>
      <c:catAx>
        <c:axId val="6365884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Country/Region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342968"/>
      </c:catAx>
      <c:valAx>
        <c:axId val="12763429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Deaths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5884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What is the current status of each country's outbreak?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Table'!$B$192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Table'!$A$193:$A$207</c:f>
            </c:strRef>
          </c:cat>
          <c:val>
            <c:numRef>
              <c:f>'Pivot Table'!$B$193:$B$207</c:f>
              <c:numCache/>
            </c:numRef>
          </c:val>
        </c:ser>
        <c:ser>
          <c:idx val="1"/>
          <c:order val="1"/>
          <c:tx>
            <c:strRef>
              <c:f>'Pivot Table'!$C$192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Table'!$A$193:$A$207</c:f>
            </c:strRef>
          </c:cat>
          <c:val>
            <c:numRef>
              <c:f>'Pivot Table'!$C$193:$C$207</c:f>
              <c:numCache/>
            </c:numRef>
          </c:val>
        </c:ser>
        <c:ser>
          <c:idx val="2"/>
          <c:order val="2"/>
          <c:tx>
            <c:strRef>
              <c:f>'Pivot Table'!$D$192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Table'!$A$193:$A$207</c:f>
            </c:strRef>
          </c:cat>
          <c:val>
            <c:numRef>
              <c:f>'Pivot Table'!$D$193:$D$207</c:f>
              <c:numCache/>
            </c:numRef>
          </c:val>
        </c:ser>
        <c:axId val="21577224"/>
        <c:axId val="143144184"/>
      </c:barChart>
      <c:catAx>
        <c:axId val="215772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Country/Region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44184"/>
      </c:catAx>
      <c:valAx>
        <c:axId val="1431441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772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Which countries were still growing fast?</a:t>
            </a:r>
          </a:p>
        </c:rich>
      </c:tx>
      <c:layout>
        <c:manualLayout>
          <c:xMode val="edge"/>
          <c:yMode val="edge"/>
          <c:x val="0.03980555555555562"/>
          <c:y val="0.046447841726618706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'Pivot Table'!$L$213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Table'!$K$214:$K$228</c:f>
            </c:strRef>
          </c:cat>
          <c:val>
            <c:numRef>
              <c:f>'Pivot Table'!$L$214:$L$228</c:f>
              <c:numCache/>
            </c:numRef>
          </c:val>
        </c:ser>
        <c:ser>
          <c:idx val="1"/>
          <c:order val="1"/>
          <c:tx>
            <c:strRef>
              <c:f>'Pivot Table'!$M$213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Table'!$K$214:$K$228</c:f>
            </c:strRef>
          </c:cat>
          <c:val>
            <c:numRef>
              <c:f>'Pivot Table'!$M$214:$M$228</c:f>
              <c:numCache/>
            </c:numRef>
          </c:val>
        </c:ser>
        <c:axId val="1032705265"/>
        <c:axId val="955659988"/>
      </c:barChart>
      <c:catAx>
        <c:axId val="10327052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Country/Region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659988"/>
      </c:catAx>
      <c:valAx>
        <c:axId val="9556599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7052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Even after recovery, which countries lost the most people?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Table'!$B$213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Table'!$A$214:$A$228</c:f>
            </c:strRef>
          </c:cat>
          <c:val>
            <c:numRef>
              <c:f>'Pivot Table'!$B$214:$B$228</c:f>
              <c:numCache/>
            </c:numRef>
          </c:val>
        </c:ser>
        <c:overlap val="100"/>
        <c:axId val="119647894"/>
        <c:axId val="1542408011"/>
      </c:barChart>
      <c:catAx>
        <c:axId val="119647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Country/Region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408011"/>
      </c:catAx>
      <c:valAx>
        <c:axId val="1542408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Deaths / 100 Recovered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647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5B0F00"/>
                </a:solidFill>
                <a:latin typeface="+mn-lt"/>
              </a:defRPr>
            </a:pPr>
            <a:r>
              <a:rPr b="1">
                <a:solidFill>
                  <a:srgbClr val="5B0F00"/>
                </a:solidFill>
                <a:latin typeface="+mn-lt"/>
              </a:rPr>
              <a:t>Which country was most deadly per case?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Table'!$B$1</c:f>
            </c:strRef>
          </c:tx>
          <c:dPt>
            <c:idx val="0"/>
            <c:spPr>
              <a:solidFill>
                <a:srgbClr val="660000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DD7E6B"/>
              </a:solidFill>
            </c:spPr>
          </c:dPt>
          <c:dPt>
            <c:idx val="3"/>
            <c:spPr>
              <a:solidFill>
                <a:srgbClr val="980000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85200C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83F04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E6B8AF"/>
              </a:solidFill>
            </c:spPr>
          </c:dPt>
          <c:dPt>
            <c:idx val="13"/>
            <c:spPr>
              <a:solidFill>
                <a:srgbClr val="E06666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Table'!$A$2:$A$188</c:f>
            </c:strRef>
          </c:cat>
          <c:val>
            <c:numRef>
              <c:f>'Pivot Table'!$B$2:$B$188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5B0F00"/>
                </a:solidFill>
                <a:latin typeface="+mn-lt"/>
              </a:defRPr>
            </a:pPr>
            <a:r>
              <a:rPr b="1">
                <a:solidFill>
                  <a:srgbClr val="5B0F00"/>
                </a:solidFill>
                <a:latin typeface="+mn-lt"/>
              </a:rPr>
              <a:t>What is the current status of each country's outbreak?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'Pivot Table'!$B$192</c:f>
            </c:strRef>
          </c:tx>
          <c:spPr>
            <a:solidFill>
              <a:srgbClr val="5B0F00"/>
            </a:solidFill>
            <a:ln cmpd="sng">
              <a:solidFill>
                <a:srgbClr val="000000"/>
              </a:solidFill>
            </a:ln>
          </c:spPr>
          <c:cat>
            <c:strRef>
              <c:f>'Pivot Table'!$A$193:$A$207</c:f>
            </c:strRef>
          </c:cat>
          <c:val>
            <c:numRef>
              <c:f>'Pivot Table'!$B$193:$B$207</c:f>
              <c:numCache/>
            </c:numRef>
          </c:val>
        </c:ser>
        <c:ser>
          <c:idx val="1"/>
          <c:order val="1"/>
          <c:tx>
            <c:strRef>
              <c:f>'Pivot Table'!$C$192</c:f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cat>
            <c:strRef>
              <c:f>'Pivot Table'!$A$193:$A$207</c:f>
            </c:strRef>
          </c:cat>
          <c:val>
            <c:numRef>
              <c:f>'Pivot Table'!$C$193:$C$207</c:f>
              <c:numCache/>
            </c:numRef>
          </c:val>
        </c:ser>
        <c:ser>
          <c:idx val="2"/>
          <c:order val="2"/>
          <c:tx>
            <c:strRef>
              <c:f>'Pivot Table'!$D$192</c:f>
            </c:strRef>
          </c:tx>
          <c:spPr>
            <a:solidFill>
              <a:srgbClr val="E6B8AF"/>
            </a:solidFill>
            <a:ln cmpd="sng">
              <a:solidFill>
                <a:srgbClr val="000000"/>
              </a:solidFill>
            </a:ln>
          </c:spPr>
          <c:cat>
            <c:strRef>
              <c:f>'Pivot Table'!$A$193:$A$207</c:f>
            </c:strRef>
          </c:cat>
          <c:val>
            <c:numRef>
              <c:f>'Pivot Table'!$D$193:$D$207</c:f>
              <c:numCache/>
            </c:numRef>
          </c:val>
        </c:ser>
        <c:axId val="112362368"/>
        <c:axId val="1728974375"/>
      </c:bar3DChart>
      <c:catAx>
        <c:axId val="1123623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Country/Region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974375"/>
      </c:catAx>
      <c:valAx>
        <c:axId val="17289743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623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5B0F00"/>
                </a:solidFill>
                <a:latin typeface="+mn-lt"/>
              </a:defRPr>
            </a:pPr>
            <a:r>
              <a:rPr b="1">
                <a:solidFill>
                  <a:srgbClr val="5B0F00"/>
                </a:solidFill>
                <a:latin typeface="+mn-lt"/>
              </a:rPr>
              <a:t>Top 10 Countries by Mortality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'Pivot Table'!$P$1</c:f>
            </c:strRef>
          </c:tx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cat>
            <c:strRef>
              <c:f>'Pivot Table'!$O$2:$O$11</c:f>
            </c:strRef>
          </c:cat>
          <c:val>
            <c:numRef>
              <c:f>'Pivot Table'!$P$2:$P$11</c:f>
              <c:numCache/>
            </c:numRef>
          </c:val>
        </c:ser>
        <c:axId val="852038068"/>
        <c:axId val="1543638389"/>
      </c:bar3DChart>
      <c:catAx>
        <c:axId val="8520380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Country/Region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638389"/>
      </c:catAx>
      <c:valAx>
        <c:axId val="15436383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Deaths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0380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5B0F00"/>
                </a:solidFill>
                <a:latin typeface="+mn-lt"/>
              </a:defRPr>
            </a:pPr>
            <a:r>
              <a:rPr b="1">
                <a:solidFill>
                  <a:srgbClr val="5B0F00"/>
                </a:solidFill>
                <a:latin typeface="+mn-lt"/>
              </a:rPr>
              <a:t>Even after recovery, which countries lost the most people?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'Pivot Table'!$B$213</c:f>
            </c:strRef>
          </c:tx>
          <c:spPr>
            <a:solidFill>
              <a:srgbClr val="85200C"/>
            </a:solidFill>
            <a:ln cmpd="sng">
              <a:solidFill>
                <a:srgbClr val="000000"/>
              </a:solidFill>
            </a:ln>
          </c:spPr>
          <c:cat>
            <c:strRef>
              <c:f>'Pivot Table'!$A$214:$A$228</c:f>
            </c:strRef>
          </c:cat>
          <c:val>
            <c:numRef>
              <c:f>'Pivot Table'!$B$214:$B$228</c:f>
              <c:numCache/>
            </c:numRef>
          </c:val>
        </c:ser>
        <c:axId val="1785201999"/>
        <c:axId val="1390136455"/>
      </c:bar3DChart>
      <c:catAx>
        <c:axId val="1785201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Country/Region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136455"/>
      </c:catAx>
      <c:valAx>
        <c:axId val="1390136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Deaths / 100 Recovered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201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5B0F00"/>
                </a:solidFill>
                <a:latin typeface="+mn-lt"/>
              </a:defRPr>
            </a:pPr>
            <a:r>
              <a:rPr b="1">
                <a:solidFill>
                  <a:srgbClr val="5B0F00"/>
                </a:solidFill>
                <a:latin typeface="+mn-lt"/>
              </a:rPr>
              <a:t>Which countries were still growing fast?</a:t>
            </a:r>
          </a:p>
        </c:rich>
      </c:tx>
      <c:layout>
        <c:manualLayout>
          <c:xMode val="edge"/>
          <c:yMode val="edge"/>
          <c:x val="0.03980555555555562"/>
          <c:y val="0.046447841726618706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'Pivot Table'!$L$213</c:f>
            </c:strRef>
          </c:tx>
          <c:spPr>
            <a:solidFill>
              <a:srgbClr val="CC4125"/>
            </a:solidFill>
            <a:ln cmpd="sng">
              <a:solidFill>
                <a:srgbClr val="783F04">
                  <a:alpha val="100000"/>
                </a:srgbClr>
              </a:solidFill>
            </a:ln>
          </c:spPr>
          <c:cat>
            <c:strRef>
              <c:f>'Pivot Table'!$K$214:$K$228</c:f>
            </c:strRef>
          </c:cat>
          <c:val>
            <c:numRef>
              <c:f>'Pivot Table'!$L$214:$L$228</c:f>
              <c:numCache/>
            </c:numRef>
          </c:val>
        </c:ser>
        <c:ser>
          <c:idx val="1"/>
          <c:order val="1"/>
          <c:tx>
            <c:strRef>
              <c:f>'Pivot Table'!$M$213</c:f>
            </c:strRef>
          </c:tx>
          <c:spPr>
            <a:solidFill>
              <a:srgbClr val="E6B8AF"/>
            </a:solidFill>
            <a:ln cmpd="sng">
              <a:solidFill>
                <a:srgbClr val="783F04">
                  <a:alpha val="100000"/>
                </a:srgbClr>
              </a:solidFill>
            </a:ln>
          </c:spPr>
          <c:cat>
            <c:strRef>
              <c:f>'Pivot Table'!$K$214:$K$228</c:f>
            </c:strRef>
          </c:cat>
          <c:val>
            <c:numRef>
              <c:f>'Pivot Table'!$M$214:$M$228</c:f>
              <c:numCache/>
            </c:numRef>
          </c:val>
        </c:ser>
        <c:axId val="915149201"/>
        <c:axId val="1446094364"/>
      </c:bar3DChart>
      <c:catAx>
        <c:axId val="9151492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Country/Region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094364"/>
      </c:catAx>
      <c:valAx>
        <c:axId val="14460943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1492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428625</xdr:colOff>
      <xdr:row>14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685800</xdr:colOff>
      <xdr:row>191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161925</xdr:colOff>
      <xdr:row>212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838200</xdr:colOff>
      <xdr:row>212</xdr:row>
      <xdr:rowOff>66675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5</xdr:row>
      <xdr:rowOff>104775</xdr:rowOff>
    </xdr:from>
    <xdr:ext cx="559117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5</xdr:row>
      <xdr:rowOff>104775</xdr:rowOff>
    </xdr:from>
    <xdr:ext cx="5267325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1028700</xdr:colOff>
      <xdr:row>5</xdr:row>
      <xdr:rowOff>104775</xdr:rowOff>
    </xdr:from>
    <xdr:ext cx="5210175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1076325</xdr:colOff>
      <xdr:row>24</xdr:row>
      <xdr:rowOff>161925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2228850</xdr:colOff>
      <xdr:row>24</xdr:row>
      <xdr:rowOff>161925</xdr:rowOff>
    </xdr:from>
    <xdr:ext cx="5534025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0"/>
    <col customWidth="1" min="12" max="12" width="20.13"/>
    <col customWidth="1" min="13" max="13" width="21.75"/>
    <col customWidth="1" min="14" max="1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4290259.0</v>
      </c>
      <c r="C2" s="2">
        <v>148011.0</v>
      </c>
      <c r="D2" s="2">
        <v>1325804.0</v>
      </c>
      <c r="E2" s="2">
        <v>2816444.0</v>
      </c>
      <c r="F2" s="2">
        <v>938814.6667</v>
      </c>
      <c r="G2" s="3" t="s">
        <v>15</v>
      </c>
      <c r="H2" s="2">
        <v>56336.0</v>
      </c>
      <c r="I2" s="2">
        <v>1076.0</v>
      </c>
      <c r="J2" s="2">
        <v>27941.0</v>
      </c>
      <c r="K2" s="2">
        <v>3.45</v>
      </c>
      <c r="L2" s="2">
        <v>30.9</v>
      </c>
      <c r="M2" s="2">
        <v>11.16</v>
      </c>
      <c r="N2" s="2">
        <v>3834677.0</v>
      </c>
    </row>
    <row r="3">
      <c r="A3" s="1" t="s">
        <v>16</v>
      </c>
      <c r="B3" s="2">
        <v>2442375.0</v>
      </c>
      <c r="C3" s="2">
        <v>87618.0</v>
      </c>
      <c r="D3" s="2">
        <v>1846641.0</v>
      </c>
      <c r="E3" s="2">
        <v>508116.0</v>
      </c>
      <c r="F3" s="2">
        <v>169372.0</v>
      </c>
      <c r="G3" s="3" t="s">
        <v>15</v>
      </c>
      <c r="H3" s="2">
        <v>23284.0</v>
      </c>
      <c r="I3" s="2">
        <v>614.0</v>
      </c>
      <c r="J3" s="2">
        <v>33728.0</v>
      </c>
      <c r="K3" s="2">
        <v>3.59</v>
      </c>
      <c r="L3" s="2">
        <v>75.61</v>
      </c>
      <c r="M3" s="2">
        <v>4.74</v>
      </c>
      <c r="N3" s="2">
        <v>2118646.0</v>
      </c>
    </row>
    <row r="4">
      <c r="A4" s="1" t="s">
        <v>17</v>
      </c>
      <c r="B4" s="2">
        <v>1480073.0</v>
      </c>
      <c r="C4" s="2">
        <v>33408.0</v>
      </c>
      <c r="D4" s="2">
        <v>951166.0</v>
      </c>
      <c r="E4" s="2">
        <v>495499.0</v>
      </c>
      <c r="F4" s="2">
        <v>165166.3333</v>
      </c>
      <c r="G4" s="3" t="s">
        <v>15</v>
      </c>
      <c r="H4" s="2">
        <v>44457.0</v>
      </c>
      <c r="I4" s="2">
        <v>637.0</v>
      </c>
      <c r="J4" s="2">
        <v>33598.0</v>
      </c>
      <c r="K4" s="2">
        <v>2.26</v>
      </c>
      <c r="L4" s="2">
        <v>64.26</v>
      </c>
      <c r="M4" s="2">
        <v>3.51</v>
      </c>
      <c r="N4" s="2">
        <v>1155338.0</v>
      </c>
    </row>
    <row r="5">
      <c r="A5" s="1" t="s">
        <v>18</v>
      </c>
      <c r="B5" s="2">
        <v>816680.0</v>
      </c>
      <c r="C5" s="2">
        <v>13334.0</v>
      </c>
      <c r="D5" s="2">
        <v>602249.0</v>
      </c>
      <c r="E5" s="2">
        <v>201097.0</v>
      </c>
      <c r="F5" s="2">
        <v>67032.33333</v>
      </c>
      <c r="G5" s="3" t="s">
        <v>15</v>
      </c>
      <c r="H5" s="2">
        <v>5607.0</v>
      </c>
      <c r="I5" s="2">
        <v>85.0</v>
      </c>
      <c r="J5" s="2">
        <v>3077.0</v>
      </c>
      <c r="K5" s="2">
        <v>1.63</v>
      </c>
      <c r="L5" s="2">
        <v>73.74</v>
      </c>
      <c r="M5" s="2">
        <v>2.21</v>
      </c>
      <c r="N5" s="2">
        <v>776212.0</v>
      </c>
    </row>
    <row r="6">
      <c r="A6" s="1" t="s">
        <v>19</v>
      </c>
      <c r="B6" s="2">
        <v>452529.0</v>
      </c>
      <c r="C6" s="2">
        <v>7067.0</v>
      </c>
      <c r="D6" s="2">
        <v>274925.0</v>
      </c>
      <c r="E6" s="2">
        <v>170537.0</v>
      </c>
      <c r="F6" s="2">
        <v>56845.66667</v>
      </c>
      <c r="G6" s="3" t="s">
        <v>15</v>
      </c>
      <c r="H6" s="2">
        <v>7096.0</v>
      </c>
      <c r="I6" s="2">
        <v>298.0</v>
      </c>
      <c r="J6" s="2">
        <v>9848.0</v>
      </c>
      <c r="K6" s="2">
        <v>1.56</v>
      </c>
      <c r="L6" s="2">
        <v>60.75</v>
      </c>
      <c r="M6" s="2">
        <v>2.57</v>
      </c>
      <c r="N6" s="2">
        <v>373628.0</v>
      </c>
    </row>
    <row r="7">
      <c r="A7" s="1" t="s">
        <v>20</v>
      </c>
      <c r="B7" s="2">
        <v>395489.0</v>
      </c>
      <c r="C7" s="2">
        <v>44022.0</v>
      </c>
      <c r="D7" s="2">
        <v>303810.0</v>
      </c>
      <c r="E7" s="2">
        <v>47657.0</v>
      </c>
      <c r="F7" s="2">
        <v>15885.66667</v>
      </c>
      <c r="G7" s="3" t="s">
        <v>21</v>
      </c>
      <c r="H7" s="2">
        <v>4973.0</v>
      </c>
      <c r="I7" s="2">
        <v>342.0</v>
      </c>
      <c r="J7" s="2">
        <v>8588.0</v>
      </c>
      <c r="K7" s="2">
        <v>11.13</v>
      </c>
      <c r="L7" s="2">
        <v>76.82</v>
      </c>
      <c r="M7" s="2">
        <v>14.49</v>
      </c>
      <c r="N7" s="2">
        <v>349396.0</v>
      </c>
    </row>
    <row r="8">
      <c r="A8" s="1" t="s">
        <v>22</v>
      </c>
      <c r="B8" s="2">
        <v>389717.0</v>
      </c>
      <c r="C8" s="2">
        <v>18418.0</v>
      </c>
      <c r="D8" s="2">
        <v>272547.0</v>
      </c>
      <c r="E8" s="2">
        <v>98752.0</v>
      </c>
      <c r="F8" s="2">
        <v>32917.33333</v>
      </c>
      <c r="G8" s="3" t="s">
        <v>15</v>
      </c>
      <c r="H8" s="2">
        <v>13756.0</v>
      </c>
      <c r="I8" s="2">
        <v>575.0</v>
      </c>
      <c r="J8" s="2">
        <v>4697.0</v>
      </c>
      <c r="K8" s="2">
        <v>4.73</v>
      </c>
      <c r="L8" s="2">
        <v>69.93</v>
      </c>
      <c r="M8" s="2">
        <v>6.76</v>
      </c>
      <c r="N8" s="2">
        <v>357681.0</v>
      </c>
    </row>
    <row r="9">
      <c r="A9" s="1" t="s">
        <v>23</v>
      </c>
      <c r="B9" s="2">
        <v>347923.0</v>
      </c>
      <c r="C9" s="2">
        <v>9187.0</v>
      </c>
      <c r="D9" s="2">
        <v>319954.0</v>
      </c>
      <c r="E9" s="2">
        <v>18782.0</v>
      </c>
      <c r="F9" s="2">
        <v>6260.666667</v>
      </c>
      <c r="G9" s="3" t="s">
        <v>21</v>
      </c>
      <c r="H9" s="2">
        <v>2133.0</v>
      </c>
      <c r="I9" s="2">
        <v>75.0</v>
      </c>
      <c r="J9" s="2">
        <v>1859.0</v>
      </c>
      <c r="K9" s="2">
        <v>2.64</v>
      </c>
      <c r="L9" s="2">
        <v>91.96</v>
      </c>
      <c r="M9" s="2">
        <v>2.87</v>
      </c>
      <c r="N9" s="2">
        <v>333029.0</v>
      </c>
    </row>
    <row r="10">
      <c r="A10" s="1" t="s">
        <v>24</v>
      </c>
      <c r="B10" s="2">
        <v>301708.0</v>
      </c>
      <c r="C10" s="2">
        <v>45844.0</v>
      </c>
      <c r="D10" s="2">
        <v>1437.0</v>
      </c>
      <c r="E10" s="2">
        <v>254427.0</v>
      </c>
      <c r="F10" s="2">
        <v>84809.0</v>
      </c>
      <c r="G10" s="3" t="s">
        <v>15</v>
      </c>
      <c r="H10" s="2">
        <v>688.0</v>
      </c>
      <c r="I10" s="2">
        <v>7.0</v>
      </c>
      <c r="J10" s="2">
        <v>3.0</v>
      </c>
      <c r="K10" s="2">
        <v>15.19</v>
      </c>
      <c r="L10" s="2">
        <v>0.48</v>
      </c>
      <c r="M10" s="2">
        <v>3190.26</v>
      </c>
      <c r="N10" s="2">
        <v>296944.0</v>
      </c>
    </row>
    <row r="11">
      <c r="A11" s="1" t="s">
        <v>25</v>
      </c>
      <c r="B11" s="2">
        <v>293606.0</v>
      </c>
      <c r="C11" s="2">
        <v>15912.0</v>
      </c>
      <c r="D11" s="2">
        <v>255144.0</v>
      </c>
      <c r="E11" s="2">
        <v>22550.0</v>
      </c>
      <c r="F11" s="2">
        <v>7516.666667</v>
      </c>
      <c r="G11" s="3" t="s">
        <v>21</v>
      </c>
      <c r="H11" s="2">
        <v>2434.0</v>
      </c>
      <c r="I11" s="2">
        <v>212.0</v>
      </c>
      <c r="J11" s="2">
        <v>1931.0</v>
      </c>
      <c r="K11" s="2">
        <v>5.42</v>
      </c>
      <c r="L11" s="2">
        <v>86.9</v>
      </c>
      <c r="M11" s="2">
        <v>6.24</v>
      </c>
      <c r="N11" s="2">
        <v>276202.0</v>
      </c>
    </row>
    <row r="12">
      <c r="A12" s="1" t="s">
        <v>26</v>
      </c>
      <c r="B12" s="2">
        <v>274289.0</v>
      </c>
      <c r="C12" s="2">
        <v>5842.0</v>
      </c>
      <c r="D12" s="2">
        <v>241026.0</v>
      </c>
      <c r="E12" s="2">
        <v>27421.0</v>
      </c>
      <c r="F12" s="2">
        <v>9140.333333</v>
      </c>
      <c r="G12" s="3" t="s">
        <v>15</v>
      </c>
      <c r="H12" s="2">
        <v>1176.0</v>
      </c>
      <c r="I12" s="2">
        <v>20.0</v>
      </c>
      <c r="J12" s="2">
        <v>3592.0</v>
      </c>
      <c r="K12" s="2">
        <v>2.13</v>
      </c>
      <c r="L12" s="2">
        <v>87.87</v>
      </c>
      <c r="M12" s="2">
        <v>2.42</v>
      </c>
      <c r="N12" s="2">
        <v>266096.0</v>
      </c>
    </row>
    <row r="13">
      <c r="A13" s="1" t="s">
        <v>27</v>
      </c>
      <c r="B13" s="2">
        <v>272421.0</v>
      </c>
      <c r="C13" s="2">
        <v>28432.0</v>
      </c>
      <c r="D13" s="2">
        <v>150376.0</v>
      </c>
      <c r="E13" s="2">
        <v>93613.0</v>
      </c>
      <c r="F13" s="2">
        <v>31204.33333</v>
      </c>
      <c r="G13" s="3" t="s">
        <v>15</v>
      </c>
      <c r="H13" s="2">
        <v>0.0</v>
      </c>
      <c r="I13" s="2">
        <v>0.0</v>
      </c>
      <c r="J13" s="2">
        <v>0.0</v>
      </c>
      <c r="K13" s="2">
        <v>10.44</v>
      </c>
      <c r="L13" s="2">
        <v>55.2</v>
      </c>
      <c r="M13" s="2">
        <v>18.91</v>
      </c>
      <c r="N13" s="2">
        <v>264836.0</v>
      </c>
    </row>
    <row r="14">
      <c r="A14" s="1" t="s">
        <v>28</v>
      </c>
      <c r="B14" s="2">
        <v>268934.0</v>
      </c>
      <c r="C14" s="2">
        <v>2760.0</v>
      </c>
      <c r="D14" s="2">
        <v>222936.0</v>
      </c>
      <c r="E14" s="2">
        <v>43238.0</v>
      </c>
      <c r="F14" s="2">
        <v>14412.66667</v>
      </c>
      <c r="G14" s="3" t="s">
        <v>15</v>
      </c>
      <c r="H14" s="2">
        <v>1993.0</v>
      </c>
      <c r="I14" s="2">
        <v>27.0</v>
      </c>
      <c r="J14" s="2">
        <v>2613.0</v>
      </c>
      <c r="K14" s="2">
        <v>1.03</v>
      </c>
      <c r="L14" s="2">
        <v>82.9</v>
      </c>
      <c r="M14" s="2">
        <v>1.24</v>
      </c>
      <c r="N14" s="2">
        <v>253349.0</v>
      </c>
    </row>
    <row r="15">
      <c r="A15" s="1" t="s">
        <v>29</v>
      </c>
      <c r="B15" s="2">
        <v>257101.0</v>
      </c>
      <c r="C15" s="2">
        <v>8777.0</v>
      </c>
      <c r="D15" s="2">
        <v>131161.0</v>
      </c>
      <c r="E15" s="2">
        <v>117163.0</v>
      </c>
      <c r="F15" s="2">
        <v>39054.33333</v>
      </c>
      <c r="G15" s="3" t="s">
        <v>15</v>
      </c>
      <c r="H15" s="2">
        <v>16306.0</v>
      </c>
      <c r="I15" s="2">
        <v>508.0</v>
      </c>
      <c r="J15" s="2">
        <v>11494.0</v>
      </c>
      <c r="K15" s="2">
        <v>3.41</v>
      </c>
      <c r="L15" s="2">
        <v>51.02</v>
      </c>
      <c r="M15" s="2">
        <v>6.69</v>
      </c>
      <c r="N15" s="2">
        <v>204005.0</v>
      </c>
    </row>
    <row r="16">
      <c r="A16" s="1" t="s">
        <v>30</v>
      </c>
      <c r="B16" s="2">
        <v>246286.0</v>
      </c>
      <c r="C16" s="2">
        <v>35112.0</v>
      </c>
      <c r="D16" s="2">
        <v>198593.0</v>
      </c>
      <c r="E16" s="2">
        <v>12581.0</v>
      </c>
      <c r="F16" s="2">
        <v>4193.666667</v>
      </c>
      <c r="G16" s="3" t="s">
        <v>21</v>
      </c>
      <c r="H16" s="2">
        <v>168.0</v>
      </c>
      <c r="I16" s="2">
        <v>5.0</v>
      </c>
      <c r="J16" s="2">
        <v>147.0</v>
      </c>
      <c r="K16" s="2">
        <v>14.26</v>
      </c>
      <c r="L16" s="2">
        <v>80.64</v>
      </c>
      <c r="M16" s="2">
        <v>17.68</v>
      </c>
      <c r="N16" s="2">
        <v>244624.0</v>
      </c>
    </row>
    <row r="17">
      <c r="A17" s="1" t="s">
        <v>31</v>
      </c>
      <c r="B17" s="2">
        <v>227019.0</v>
      </c>
      <c r="C17" s="2">
        <v>5630.0</v>
      </c>
      <c r="D17" s="2">
        <v>210469.0</v>
      </c>
      <c r="E17" s="2">
        <v>10920.0</v>
      </c>
      <c r="F17" s="2">
        <v>3640.0</v>
      </c>
      <c r="G17" s="3" t="s">
        <v>21</v>
      </c>
      <c r="H17" s="2">
        <v>919.0</v>
      </c>
      <c r="I17" s="2">
        <v>17.0</v>
      </c>
      <c r="J17" s="2">
        <v>982.0</v>
      </c>
      <c r="K17" s="2">
        <v>2.48</v>
      </c>
      <c r="L17" s="2">
        <v>92.71</v>
      </c>
      <c r="M17" s="2">
        <v>2.67</v>
      </c>
      <c r="N17" s="2">
        <v>220572.0</v>
      </c>
    </row>
    <row r="18">
      <c r="A18" s="1" t="s">
        <v>32</v>
      </c>
      <c r="B18" s="2">
        <v>226225.0</v>
      </c>
      <c r="C18" s="2">
        <v>2965.0</v>
      </c>
      <c r="D18" s="2">
        <v>125683.0</v>
      </c>
      <c r="E18" s="2">
        <v>97577.0</v>
      </c>
      <c r="F18" s="2">
        <v>32525.66667</v>
      </c>
      <c r="G18" s="3" t="s">
        <v>15</v>
      </c>
      <c r="H18" s="2">
        <v>2772.0</v>
      </c>
      <c r="I18" s="2">
        <v>37.0</v>
      </c>
      <c r="J18" s="2">
        <v>1801.0</v>
      </c>
      <c r="K18" s="2">
        <v>1.31</v>
      </c>
      <c r="L18" s="2">
        <v>55.56</v>
      </c>
      <c r="M18" s="2">
        <v>2.36</v>
      </c>
      <c r="N18" s="2">
        <v>207453.0</v>
      </c>
    </row>
    <row r="19">
      <c r="A19" s="1" t="s">
        <v>33</v>
      </c>
      <c r="B19" s="2">
        <v>220352.0</v>
      </c>
      <c r="C19" s="2">
        <v>30212.0</v>
      </c>
      <c r="D19" s="2">
        <v>81212.0</v>
      </c>
      <c r="E19" s="2">
        <v>108928.0</v>
      </c>
      <c r="F19" s="2">
        <v>36309.33333</v>
      </c>
      <c r="G19" s="3" t="s">
        <v>15</v>
      </c>
      <c r="H19" s="2">
        <v>2551.0</v>
      </c>
      <c r="I19" s="2">
        <v>17.0</v>
      </c>
      <c r="J19" s="2">
        <v>267.0</v>
      </c>
      <c r="K19" s="2">
        <v>13.71</v>
      </c>
      <c r="L19" s="2">
        <v>36.86</v>
      </c>
      <c r="M19" s="2">
        <v>37.2</v>
      </c>
      <c r="N19" s="2">
        <v>214023.0</v>
      </c>
    </row>
    <row r="20">
      <c r="A20" s="1" t="s">
        <v>34</v>
      </c>
      <c r="B20" s="2">
        <v>207112.0</v>
      </c>
      <c r="C20" s="2">
        <v>9125.0</v>
      </c>
      <c r="D20" s="2">
        <v>190314.0</v>
      </c>
      <c r="E20" s="2">
        <v>7673.0</v>
      </c>
      <c r="F20" s="2">
        <v>2557.666667</v>
      </c>
      <c r="G20" s="3" t="s">
        <v>21</v>
      </c>
      <c r="H20" s="2">
        <v>445.0</v>
      </c>
      <c r="I20" s="2">
        <v>1.0</v>
      </c>
      <c r="J20" s="2">
        <v>259.0</v>
      </c>
      <c r="K20" s="2">
        <v>4.41</v>
      </c>
      <c r="L20" s="2">
        <v>91.89</v>
      </c>
      <c r="M20" s="2">
        <v>4.79</v>
      </c>
      <c r="N20" s="2">
        <v>203325.0</v>
      </c>
    </row>
    <row r="21">
      <c r="A21" s="1" t="s">
        <v>35</v>
      </c>
      <c r="B21" s="2">
        <v>167416.0</v>
      </c>
      <c r="C21" s="2">
        <v>3059.0</v>
      </c>
      <c r="D21" s="2">
        <v>72575.0</v>
      </c>
      <c r="E21" s="2">
        <v>91782.0</v>
      </c>
      <c r="F21" s="2">
        <v>30594.0</v>
      </c>
      <c r="G21" s="3" t="s">
        <v>15</v>
      </c>
      <c r="H21" s="2">
        <v>4890.0</v>
      </c>
      <c r="I21" s="2">
        <v>120.0</v>
      </c>
      <c r="J21" s="2">
        <v>2057.0</v>
      </c>
      <c r="K21" s="2">
        <v>1.83</v>
      </c>
      <c r="L21" s="2">
        <v>43.35</v>
      </c>
      <c r="M21" s="2">
        <v>4.21</v>
      </c>
      <c r="N21" s="2">
        <v>130774.0</v>
      </c>
    </row>
    <row r="22">
      <c r="A22" s="1" t="s">
        <v>36</v>
      </c>
      <c r="B22" s="2">
        <v>116458.0</v>
      </c>
      <c r="C22" s="2">
        <v>8944.0</v>
      </c>
      <c r="D22" s="2">
        <v>0.0</v>
      </c>
      <c r="E22" s="2">
        <v>107514.0</v>
      </c>
      <c r="F22" s="2">
        <v>35838.0</v>
      </c>
      <c r="G22" s="3" t="s">
        <v>15</v>
      </c>
      <c r="H22" s="2">
        <v>682.0</v>
      </c>
      <c r="I22" s="2">
        <v>11.0</v>
      </c>
      <c r="J22" s="2">
        <v>0.0</v>
      </c>
      <c r="K22" s="2">
        <v>7.68</v>
      </c>
      <c r="L22" s="2">
        <v>0.0</v>
      </c>
      <c r="M22" s="1" t="s">
        <v>37</v>
      </c>
      <c r="N22" s="2">
        <v>112925.0</v>
      </c>
    </row>
    <row r="23">
      <c r="A23" s="1" t="s">
        <v>38</v>
      </c>
      <c r="B23" s="2">
        <v>112585.0</v>
      </c>
      <c r="C23" s="2">
        <v>4458.0</v>
      </c>
      <c r="D23" s="2">
        <v>77144.0</v>
      </c>
      <c r="E23" s="2">
        <v>30983.0</v>
      </c>
      <c r="F23" s="2">
        <v>10327.66667</v>
      </c>
      <c r="G23" s="3" t="s">
        <v>15</v>
      </c>
      <c r="H23" s="2">
        <v>2553.0</v>
      </c>
      <c r="I23" s="2">
        <v>96.0</v>
      </c>
      <c r="J23" s="2">
        <v>1927.0</v>
      </c>
      <c r="K23" s="2">
        <v>3.96</v>
      </c>
      <c r="L23" s="2">
        <v>68.52</v>
      </c>
      <c r="M23" s="2">
        <v>5.78</v>
      </c>
      <c r="N23" s="2">
        <v>94693.0</v>
      </c>
    </row>
    <row r="24">
      <c r="A24" s="1" t="s">
        <v>39</v>
      </c>
      <c r="B24" s="2">
        <v>109597.0</v>
      </c>
      <c r="C24" s="2">
        <v>165.0</v>
      </c>
      <c r="D24" s="2">
        <v>106328.0</v>
      </c>
      <c r="E24" s="2">
        <v>3104.0</v>
      </c>
      <c r="F24" s="2">
        <v>1034.666667</v>
      </c>
      <c r="G24" s="3" t="s">
        <v>15</v>
      </c>
      <c r="H24" s="2">
        <v>292.0</v>
      </c>
      <c r="I24" s="2">
        <v>0.0</v>
      </c>
      <c r="J24" s="2">
        <v>304.0</v>
      </c>
      <c r="K24" s="2">
        <v>0.15</v>
      </c>
      <c r="L24" s="2">
        <v>97.02</v>
      </c>
      <c r="M24" s="2">
        <v>0.16</v>
      </c>
      <c r="N24" s="2">
        <v>107037.0</v>
      </c>
    </row>
    <row r="25">
      <c r="A25" s="1" t="s">
        <v>40</v>
      </c>
      <c r="B25" s="2">
        <v>100303.0</v>
      </c>
      <c r="C25" s="2">
        <v>4838.0</v>
      </c>
      <c r="D25" s="2">
        <v>58173.0</v>
      </c>
      <c r="E25" s="2">
        <v>37292.0</v>
      </c>
      <c r="F25" s="2">
        <v>12430.66667</v>
      </c>
      <c r="G25" s="3" t="s">
        <v>15</v>
      </c>
      <c r="H25" s="2">
        <v>1525.0</v>
      </c>
      <c r="I25" s="2">
        <v>57.0</v>
      </c>
      <c r="J25" s="2">
        <v>1518.0</v>
      </c>
      <c r="K25" s="2">
        <v>4.82</v>
      </c>
      <c r="L25" s="2">
        <v>58.0</v>
      </c>
      <c r="M25" s="2">
        <v>8.32</v>
      </c>
      <c r="N25" s="2">
        <v>88214.0</v>
      </c>
    </row>
    <row r="26">
      <c r="A26" s="1" t="s">
        <v>41</v>
      </c>
      <c r="B26" s="2">
        <v>92482.0</v>
      </c>
      <c r="C26" s="2">
        <v>4652.0</v>
      </c>
      <c r="D26" s="2">
        <v>34838.0</v>
      </c>
      <c r="E26" s="2">
        <v>52992.0</v>
      </c>
      <c r="F26" s="2">
        <v>17664.0</v>
      </c>
      <c r="G26" s="3" t="s">
        <v>15</v>
      </c>
      <c r="H26" s="2">
        <v>420.0</v>
      </c>
      <c r="I26" s="2">
        <v>46.0</v>
      </c>
      <c r="J26" s="2">
        <v>1007.0</v>
      </c>
      <c r="K26" s="2">
        <v>5.03</v>
      </c>
      <c r="L26" s="2">
        <v>37.67</v>
      </c>
      <c r="M26" s="2">
        <v>13.35</v>
      </c>
      <c r="N26" s="2">
        <v>88402.0</v>
      </c>
    </row>
    <row r="27">
      <c r="A27" s="1" t="s">
        <v>42</v>
      </c>
      <c r="B27" s="2">
        <v>86783.0</v>
      </c>
      <c r="C27" s="2">
        <v>4656.0</v>
      </c>
      <c r="D27" s="2">
        <v>78869.0</v>
      </c>
      <c r="E27" s="2">
        <v>3258.0</v>
      </c>
      <c r="F27" s="2">
        <v>1086.0</v>
      </c>
      <c r="G27" s="3" t="s">
        <v>21</v>
      </c>
      <c r="H27" s="2">
        <v>213.0</v>
      </c>
      <c r="I27" s="2">
        <v>4.0</v>
      </c>
      <c r="J27" s="2">
        <v>7.0</v>
      </c>
      <c r="K27" s="2">
        <v>5.37</v>
      </c>
      <c r="L27" s="2">
        <v>90.88</v>
      </c>
      <c r="M27" s="2">
        <v>5.9</v>
      </c>
      <c r="N27" s="2">
        <v>85622.0</v>
      </c>
    </row>
    <row r="28">
      <c r="A28" s="1" t="s">
        <v>43</v>
      </c>
      <c r="B28" s="2">
        <v>84648.0</v>
      </c>
      <c r="C28" s="2">
        <v>585.0</v>
      </c>
      <c r="D28" s="2">
        <v>54404.0</v>
      </c>
      <c r="E28" s="2">
        <v>29659.0</v>
      </c>
      <c r="F28" s="2">
        <v>9886.333333</v>
      </c>
      <c r="G28" s="3" t="s">
        <v>15</v>
      </c>
      <c r="H28" s="2">
        <v>1526.0</v>
      </c>
      <c r="I28" s="2">
        <v>0.0</v>
      </c>
      <c r="J28" s="2">
        <v>1833.0</v>
      </c>
      <c r="K28" s="2">
        <v>0.69</v>
      </c>
      <c r="L28" s="2">
        <v>64.27</v>
      </c>
      <c r="M28" s="2">
        <v>1.08</v>
      </c>
      <c r="N28" s="2">
        <v>73468.0</v>
      </c>
    </row>
    <row r="29">
      <c r="A29" s="1" t="s">
        <v>44</v>
      </c>
      <c r="B29" s="2">
        <v>82040.0</v>
      </c>
      <c r="C29" s="2">
        <v>1945.0</v>
      </c>
      <c r="D29" s="2">
        <v>26446.0</v>
      </c>
      <c r="E29" s="2">
        <v>53649.0</v>
      </c>
      <c r="F29" s="2">
        <v>17883.0</v>
      </c>
      <c r="G29" s="3" t="s">
        <v>15</v>
      </c>
      <c r="H29" s="2">
        <v>1592.0</v>
      </c>
      <c r="I29" s="2">
        <v>13.0</v>
      </c>
      <c r="J29" s="2">
        <v>336.0</v>
      </c>
      <c r="K29" s="2">
        <v>2.37</v>
      </c>
      <c r="L29" s="2">
        <v>32.24</v>
      </c>
      <c r="M29" s="2">
        <v>7.35</v>
      </c>
      <c r="N29" s="2">
        <v>68898.0</v>
      </c>
    </row>
    <row r="30">
      <c r="A30" s="1" t="s">
        <v>45</v>
      </c>
      <c r="B30" s="2">
        <v>81161.0</v>
      </c>
      <c r="C30" s="2">
        <v>5532.0</v>
      </c>
      <c r="D30" s="2">
        <v>34896.0</v>
      </c>
      <c r="E30" s="2">
        <v>40733.0</v>
      </c>
      <c r="F30" s="2">
        <v>13577.66667</v>
      </c>
      <c r="G30" s="3" t="s">
        <v>15</v>
      </c>
      <c r="H30" s="2">
        <v>467.0</v>
      </c>
      <c r="I30" s="2">
        <v>17.0</v>
      </c>
      <c r="J30" s="2">
        <v>0.0</v>
      </c>
      <c r="K30" s="2">
        <v>6.82</v>
      </c>
      <c r="L30" s="2">
        <v>43.0</v>
      </c>
      <c r="M30" s="2">
        <v>15.85</v>
      </c>
      <c r="N30" s="2">
        <v>74620.0</v>
      </c>
    </row>
    <row r="31">
      <c r="A31" s="1" t="s">
        <v>46</v>
      </c>
      <c r="B31" s="2">
        <v>79395.0</v>
      </c>
      <c r="C31" s="2">
        <v>5700.0</v>
      </c>
      <c r="D31" s="2">
        <v>0.0</v>
      </c>
      <c r="E31" s="2">
        <v>73695.0</v>
      </c>
      <c r="F31" s="2">
        <v>24565.0</v>
      </c>
      <c r="G31" s="3" t="s">
        <v>15</v>
      </c>
      <c r="H31" s="2">
        <v>398.0</v>
      </c>
      <c r="I31" s="2">
        <v>3.0</v>
      </c>
      <c r="J31" s="2">
        <v>0.0</v>
      </c>
      <c r="K31" s="2">
        <v>7.18</v>
      </c>
      <c r="L31" s="2">
        <v>0.0</v>
      </c>
      <c r="M31" s="1" t="s">
        <v>37</v>
      </c>
      <c r="N31" s="2">
        <v>78048.0</v>
      </c>
    </row>
    <row r="32">
      <c r="A32" s="1" t="s">
        <v>47</v>
      </c>
      <c r="B32" s="2">
        <v>77058.0</v>
      </c>
      <c r="C32" s="2">
        <v>393.0</v>
      </c>
      <c r="D32" s="2">
        <v>57028.0</v>
      </c>
      <c r="E32" s="2">
        <v>19637.0</v>
      </c>
      <c r="F32" s="2">
        <v>6545.666667</v>
      </c>
      <c r="G32" s="3" t="s">
        <v>15</v>
      </c>
      <c r="H32" s="2">
        <v>1053.0</v>
      </c>
      <c r="I32" s="2">
        <v>9.0</v>
      </c>
      <c r="J32" s="2">
        <v>1729.0</v>
      </c>
      <c r="K32" s="2">
        <v>0.51</v>
      </c>
      <c r="L32" s="2">
        <v>74.01</v>
      </c>
      <c r="M32" s="2">
        <v>0.69</v>
      </c>
      <c r="N32" s="2">
        <v>68400.0</v>
      </c>
    </row>
    <row r="33">
      <c r="A33" s="1" t="s">
        <v>48</v>
      </c>
      <c r="B33" s="2">
        <v>71181.0</v>
      </c>
      <c r="C33" s="2">
        <v>2647.0</v>
      </c>
      <c r="D33" s="2">
        <v>21478.0</v>
      </c>
      <c r="E33" s="2">
        <v>47056.0</v>
      </c>
      <c r="F33" s="2">
        <v>15685.33333</v>
      </c>
      <c r="G33" s="3" t="s">
        <v>15</v>
      </c>
      <c r="H33" s="2">
        <v>1752.0</v>
      </c>
      <c r="I33" s="2">
        <v>64.0</v>
      </c>
      <c r="J33" s="2">
        <v>309.0</v>
      </c>
      <c r="K33" s="2">
        <v>3.72</v>
      </c>
      <c r="L33" s="2">
        <v>30.17</v>
      </c>
      <c r="M33" s="2">
        <v>12.32</v>
      </c>
      <c r="N33" s="2">
        <v>60991.0</v>
      </c>
    </row>
    <row r="34">
      <c r="A34" s="1" t="s">
        <v>49</v>
      </c>
      <c r="B34" s="2">
        <v>67251.0</v>
      </c>
      <c r="C34" s="2">
        <v>538.0</v>
      </c>
      <c r="D34" s="2">
        <v>60492.0</v>
      </c>
      <c r="E34" s="2">
        <v>6221.0</v>
      </c>
      <c r="F34" s="2">
        <v>2073.666667</v>
      </c>
      <c r="G34" s="3" t="s">
        <v>15</v>
      </c>
      <c r="H34" s="2">
        <v>119.0</v>
      </c>
      <c r="I34" s="2">
        <v>4.0</v>
      </c>
      <c r="J34" s="2">
        <v>67.0</v>
      </c>
      <c r="K34" s="2">
        <v>0.8</v>
      </c>
      <c r="L34" s="2">
        <v>89.95</v>
      </c>
      <c r="M34" s="2">
        <v>0.89</v>
      </c>
      <c r="N34" s="2">
        <v>66213.0</v>
      </c>
    </row>
    <row r="35">
      <c r="A35" s="1" t="s">
        <v>50</v>
      </c>
      <c r="B35" s="2">
        <v>67096.0</v>
      </c>
      <c r="C35" s="2">
        <v>1636.0</v>
      </c>
      <c r="D35" s="2">
        <v>37202.0</v>
      </c>
      <c r="E35" s="2">
        <v>28258.0</v>
      </c>
      <c r="F35" s="2">
        <v>9419.333333</v>
      </c>
      <c r="G35" s="3" t="s">
        <v>15</v>
      </c>
      <c r="H35" s="2">
        <v>835.0</v>
      </c>
      <c r="I35" s="2">
        <v>11.0</v>
      </c>
      <c r="J35" s="2">
        <v>317.0</v>
      </c>
      <c r="K35" s="2">
        <v>2.44</v>
      </c>
      <c r="L35" s="2">
        <v>55.45</v>
      </c>
      <c r="M35" s="2">
        <v>4.4</v>
      </c>
      <c r="N35" s="2">
        <v>60767.0</v>
      </c>
    </row>
    <row r="36">
      <c r="A36" s="1" t="s">
        <v>51</v>
      </c>
      <c r="B36" s="2">
        <v>66428.0</v>
      </c>
      <c r="C36" s="2">
        <v>9822.0</v>
      </c>
      <c r="D36" s="2">
        <v>17452.0</v>
      </c>
      <c r="E36" s="2">
        <v>39154.0</v>
      </c>
      <c r="F36" s="2">
        <v>13051.33333</v>
      </c>
      <c r="G36" s="3" t="s">
        <v>15</v>
      </c>
      <c r="H36" s="2">
        <v>402.0</v>
      </c>
      <c r="I36" s="2">
        <v>1.0</v>
      </c>
      <c r="J36" s="2">
        <v>14.0</v>
      </c>
      <c r="K36" s="2">
        <v>14.79</v>
      </c>
      <c r="L36" s="2">
        <v>26.27</v>
      </c>
      <c r="M36" s="2">
        <v>56.28</v>
      </c>
      <c r="N36" s="2">
        <v>64094.0</v>
      </c>
    </row>
    <row r="37">
      <c r="A37" s="1" t="s">
        <v>52</v>
      </c>
      <c r="B37" s="2">
        <v>64379.0</v>
      </c>
      <c r="C37" s="2">
        <v>438.0</v>
      </c>
      <c r="D37" s="2">
        <v>55057.0</v>
      </c>
      <c r="E37" s="2">
        <v>8884.0</v>
      </c>
      <c r="F37" s="2">
        <v>2961.333333</v>
      </c>
      <c r="G37" s="3" t="s">
        <v>15</v>
      </c>
      <c r="H37" s="2">
        <v>606.0</v>
      </c>
      <c r="I37" s="2">
        <v>5.0</v>
      </c>
      <c r="J37" s="2">
        <v>684.0</v>
      </c>
      <c r="K37" s="2">
        <v>0.68</v>
      </c>
      <c r="L37" s="2">
        <v>85.52</v>
      </c>
      <c r="M37" s="2">
        <v>0.8</v>
      </c>
      <c r="N37" s="2">
        <v>59763.0</v>
      </c>
    </row>
    <row r="38">
      <c r="A38" s="1" t="s">
        <v>53</v>
      </c>
      <c r="B38" s="2">
        <v>64156.0</v>
      </c>
      <c r="C38" s="2">
        <v>1083.0</v>
      </c>
      <c r="D38" s="2">
        <v>30204.0</v>
      </c>
      <c r="E38" s="2">
        <v>32869.0</v>
      </c>
      <c r="F38" s="2">
        <v>10956.33333</v>
      </c>
      <c r="G38" s="3" t="s">
        <v>15</v>
      </c>
      <c r="H38" s="2">
        <v>1248.0</v>
      </c>
      <c r="I38" s="2">
        <v>20.0</v>
      </c>
      <c r="J38" s="2">
        <v>1601.0</v>
      </c>
      <c r="K38" s="2">
        <v>1.69</v>
      </c>
      <c r="L38" s="2">
        <v>47.08</v>
      </c>
      <c r="M38" s="2">
        <v>3.59</v>
      </c>
      <c r="N38" s="2">
        <v>53956.0</v>
      </c>
    </row>
    <row r="39">
      <c r="A39" s="1" t="s">
        <v>54</v>
      </c>
      <c r="B39" s="2">
        <v>63985.0</v>
      </c>
      <c r="C39" s="2">
        <v>474.0</v>
      </c>
      <c r="D39" s="2">
        <v>27133.0</v>
      </c>
      <c r="E39" s="2">
        <v>36378.0</v>
      </c>
      <c r="F39" s="2">
        <v>12126.0</v>
      </c>
      <c r="G39" s="3" t="s">
        <v>15</v>
      </c>
      <c r="H39" s="2">
        <v>2029.0</v>
      </c>
      <c r="I39" s="2">
        <v>4.0</v>
      </c>
      <c r="J39" s="2">
        <v>108.0</v>
      </c>
      <c r="K39" s="2">
        <v>0.74</v>
      </c>
      <c r="L39" s="2">
        <v>42.41</v>
      </c>
      <c r="M39" s="2">
        <v>1.75</v>
      </c>
      <c r="N39" s="2">
        <v>52003.0</v>
      </c>
    </row>
    <row r="40">
      <c r="A40" s="1" t="s">
        <v>55</v>
      </c>
      <c r="B40" s="2">
        <v>61442.0</v>
      </c>
      <c r="C40" s="2">
        <v>1322.0</v>
      </c>
      <c r="D40" s="2">
        <v>35086.0</v>
      </c>
      <c r="E40" s="2">
        <v>25034.0</v>
      </c>
      <c r="F40" s="2">
        <v>8344.666667</v>
      </c>
      <c r="G40" s="3" t="s">
        <v>15</v>
      </c>
      <c r="H40" s="2">
        <v>1146.0</v>
      </c>
      <c r="I40" s="2">
        <v>28.0</v>
      </c>
      <c r="J40" s="2">
        <v>955.0</v>
      </c>
      <c r="K40" s="2">
        <v>2.15</v>
      </c>
      <c r="L40" s="2">
        <v>57.1</v>
      </c>
      <c r="M40" s="2">
        <v>3.77</v>
      </c>
      <c r="N40" s="2">
        <v>54426.0</v>
      </c>
    </row>
    <row r="41">
      <c r="A41" s="1" t="s">
        <v>56</v>
      </c>
      <c r="B41" s="2">
        <v>59177.0</v>
      </c>
      <c r="C41" s="2">
        <v>345.0</v>
      </c>
      <c r="D41" s="2">
        <v>52510.0</v>
      </c>
      <c r="E41" s="2">
        <v>6322.0</v>
      </c>
      <c r="F41" s="2">
        <v>2107.333333</v>
      </c>
      <c r="G41" s="3" t="s">
        <v>15</v>
      </c>
      <c r="H41" s="2">
        <v>264.0</v>
      </c>
      <c r="I41" s="2">
        <v>1.0</v>
      </c>
      <c r="J41" s="2">
        <v>328.0</v>
      </c>
      <c r="K41" s="2">
        <v>0.58</v>
      </c>
      <c r="L41" s="2">
        <v>88.73</v>
      </c>
      <c r="M41" s="2">
        <v>0.66</v>
      </c>
      <c r="N41" s="2">
        <v>57193.0</v>
      </c>
    </row>
    <row r="42">
      <c r="A42" s="1" t="s">
        <v>57</v>
      </c>
      <c r="B42" s="2">
        <v>53413.0</v>
      </c>
      <c r="C42" s="2">
        <v>6160.0</v>
      </c>
      <c r="D42" s="2">
        <v>189.0</v>
      </c>
      <c r="E42" s="2">
        <v>47064.0</v>
      </c>
      <c r="F42" s="2">
        <v>15688.0</v>
      </c>
      <c r="G42" s="3" t="s">
        <v>15</v>
      </c>
      <c r="H42" s="2">
        <v>419.0</v>
      </c>
      <c r="I42" s="2">
        <v>1.0</v>
      </c>
      <c r="J42" s="2">
        <v>0.0</v>
      </c>
      <c r="K42" s="2">
        <v>11.53</v>
      </c>
      <c r="L42" s="2">
        <v>0.35</v>
      </c>
      <c r="M42" s="2">
        <v>3259.26</v>
      </c>
      <c r="N42" s="2">
        <v>52132.0</v>
      </c>
    </row>
    <row r="43">
      <c r="A43" s="1" t="s">
        <v>58</v>
      </c>
      <c r="B43" s="2">
        <v>50838.0</v>
      </c>
      <c r="C43" s="2">
        <v>27.0</v>
      </c>
      <c r="D43" s="2">
        <v>45692.0</v>
      </c>
      <c r="E43" s="2">
        <v>5119.0</v>
      </c>
      <c r="F43" s="2">
        <v>1706.333333</v>
      </c>
      <c r="G43" s="3" t="s">
        <v>15</v>
      </c>
      <c r="H43" s="2">
        <v>469.0</v>
      </c>
      <c r="I43" s="2">
        <v>0.0</v>
      </c>
      <c r="J43" s="2">
        <v>171.0</v>
      </c>
      <c r="K43" s="2">
        <v>0.05</v>
      </c>
      <c r="L43" s="2">
        <v>89.88</v>
      </c>
      <c r="M43" s="2">
        <v>0.06</v>
      </c>
      <c r="N43" s="2">
        <v>48035.0</v>
      </c>
    </row>
    <row r="44">
      <c r="A44" s="1" t="s">
        <v>59</v>
      </c>
      <c r="B44" s="2">
        <v>50299.0</v>
      </c>
      <c r="C44" s="2">
        <v>1719.0</v>
      </c>
      <c r="D44" s="2">
        <v>35375.0</v>
      </c>
      <c r="E44" s="2">
        <v>13205.0</v>
      </c>
      <c r="F44" s="2">
        <v>4401.666667</v>
      </c>
      <c r="G44" s="3" t="s">
        <v>15</v>
      </c>
      <c r="H44" s="2">
        <v>135.0</v>
      </c>
      <c r="I44" s="2">
        <v>2.0</v>
      </c>
      <c r="J44" s="2">
        <v>158.0</v>
      </c>
      <c r="K44" s="2">
        <v>3.42</v>
      </c>
      <c r="L44" s="2">
        <v>70.33</v>
      </c>
      <c r="M44" s="2">
        <v>4.86</v>
      </c>
      <c r="N44" s="2">
        <v>48771.0</v>
      </c>
    </row>
    <row r="45">
      <c r="A45" s="1" t="s">
        <v>60</v>
      </c>
      <c r="B45" s="2">
        <v>45902.0</v>
      </c>
      <c r="C45" s="2">
        <v>2206.0</v>
      </c>
      <c r="D45" s="2">
        <v>25794.0</v>
      </c>
      <c r="E45" s="2">
        <v>17902.0</v>
      </c>
      <c r="F45" s="2">
        <v>5967.333333</v>
      </c>
      <c r="G45" s="3" t="s">
        <v>15</v>
      </c>
      <c r="H45" s="2">
        <v>1104.0</v>
      </c>
      <c r="I45" s="2">
        <v>19.0</v>
      </c>
      <c r="J45" s="2">
        <v>151.0</v>
      </c>
      <c r="K45" s="2">
        <v>4.81</v>
      </c>
      <c r="L45" s="2">
        <v>56.19</v>
      </c>
      <c r="M45" s="2">
        <v>8.55</v>
      </c>
      <c r="N45" s="2">
        <v>38139.0</v>
      </c>
    </row>
    <row r="46">
      <c r="A46" s="1" t="s">
        <v>61</v>
      </c>
      <c r="B46" s="2">
        <v>45309.0</v>
      </c>
      <c r="C46" s="2">
        <v>1761.0</v>
      </c>
      <c r="D46" s="2">
        <v>32455.0</v>
      </c>
      <c r="E46" s="2">
        <v>11093.0</v>
      </c>
      <c r="F46" s="2">
        <v>3697.666667</v>
      </c>
      <c r="G46" s="3" t="s">
        <v>15</v>
      </c>
      <c r="H46" s="2">
        <v>256.0</v>
      </c>
      <c r="I46" s="2">
        <v>27.0</v>
      </c>
      <c r="J46" s="2">
        <v>843.0</v>
      </c>
      <c r="K46" s="2">
        <v>3.89</v>
      </c>
      <c r="L46" s="2">
        <v>71.63</v>
      </c>
      <c r="M46" s="2">
        <v>5.43</v>
      </c>
      <c r="N46" s="2">
        <v>39039.0</v>
      </c>
    </row>
    <row r="47">
      <c r="A47" s="1" t="s">
        <v>62</v>
      </c>
      <c r="B47" s="2">
        <v>43402.0</v>
      </c>
      <c r="C47" s="2">
        <v>1676.0</v>
      </c>
      <c r="D47" s="2">
        <v>32856.0</v>
      </c>
      <c r="E47" s="2">
        <v>8870.0</v>
      </c>
      <c r="F47" s="2">
        <v>2956.666667</v>
      </c>
      <c r="G47" s="3" t="s">
        <v>15</v>
      </c>
      <c r="H47" s="2">
        <v>337.0</v>
      </c>
      <c r="I47" s="2">
        <v>5.0</v>
      </c>
      <c r="J47" s="2">
        <v>103.0</v>
      </c>
      <c r="K47" s="2">
        <v>3.86</v>
      </c>
      <c r="L47" s="2">
        <v>75.7</v>
      </c>
      <c r="M47" s="2">
        <v>5.1</v>
      </c>
      <c r="N47" s="2">
        <v>40383.0</v>
      </c>
    </row>
    <row r="48">
      <c r="A48" s="1" t="s">
        <v>63</v>
      </c>
      <c r="B48" s="2">
        <v>41180.0</v>
      </c>
      <c r="C48" s="2">
        <v>860.0</v>
      </c>
      <c r="D48" s="2">
        <v>18203.0</v>
      </c>
      <c r="E48" s="2">
        <v>22117.0</v>
      </c>
      <c r="F48" s="2">
        <v>7372.333333</v>
      </c>
      <c r="G48" s="3" t="s">
        <v>15</v>
      </c>
      <c r="H48" s="2">
        <v>648.0</v>
      </c>
      <c r="I48" s="2">
        <v>2.0</v>
      </c>
      <c r="J48" s="2">
        <v>829.0</v>
      </c>
      <c r="K48" s="2">
        <v>2.09</v>
      </c>
      <c r="L48" s="2">
        <v>44.2</v>
      </c>
      <c r="M48" s="2">
        <v>4.72</v>
      </c>
      <c r="N48" s="2">
        <v>37225.0</v>
      </c>
    </row>
    <row r="49">
      <c r="A49" s="1" t="s">
        <v>64</v>
      </c>
      <c r="B49" s="2">
        <v>39741.0</v>
      </c>
      <c r="C49" s="2">
        <v>1166.0</v>
      </c>
      <c r="D49" s="2">
        <v>5039.0</v>
      </c>
      <c r="E49" s="2">
        <v>33536.0</v>
      </c>
      <c r="F49" s="2">
        <v>11178.66667</v>
      </c>
      <c r="G49" s="3" t="s">
        <v>15</v>
      </c>
      <c r="H49" s="2">
        <v>465.0</v>
      </c>
      <c r="I49" s="2">
        <v>50.0</v>
      </c>
      <c r="J49" s="2">
        <v>117.0</v>
      </c>
      <c r="K49" s="2">
        <v>2.93</v>
      </c>
      <c r="L49" s="2">
        <v>12.68</v>
      </c>
      <c r="M49" s="2">
        <v>23.14</v>
      </c>
      <c r="N49" s="2">
        <v>34611.0</v>
      </c>
    </row>
    <row r="50">
      <c r="A50" s="1" t="s">
        <v>65</v>
      </c>
      <c r="B50" s="2">
        <v>39482.0</v>
      </c>
      <c r="C50" s="2">
        <v>141.0</v>
      </c>
      <c r="D50" s="2">
        <v>36110.0</v>
      </c>
      <c r="E50" s="2">
        <v>3231.0</v>
      </c>
      <c r="F50" s="2">
        <v>1077.0</v>
      </c>
      <c r="G50" s="3" t="s">
        <v>15</v>
      </c>
      <c r="H50" s="2">
        <v>351.0</v>
      </c>
      <c r="I50" s="2">
        <v>1.0</v>
      </c>
      <c r="J50" s="2">
        <v>421.0</v>
      </c>
      <c r="K50" s="2">
        <v>0.36</v>
      </c>
      <c r="L50" s="2">
        <v>91.46</v>
      </c>
      <c r="M50" s="2">
        <v>0.39</v>
      </c>
      <c r="N50" s="2">
        <v>36936.0</v>
      </c>
    </row>
    <row r="51">
      <c r="A51" s="1" t="s">
        <v>66</v>
      </c>
      <c r="B51" s="2">
        <v>37390.0</v>
      </c>
      <c r="C51" s="2">
        <v>711.0</v>
      </c>
      <c r="D51" s="2">
        <v>26665.0</v>
      </c>
      <c r="E51" s="2">
        <v>10014.0</v>
      </c>
      <c r="F51" s="2">
        <v>3338.0</v>
      </c>
      <c r="G51" s="3" t="s">
        <v>15</v>
      </c>
      <c r="H51" s="2">
        <v>73.0</v>
      </c>
      <c r="I51" s="2">
        <v>6.0</v>
      </c>
      <c r="J51" s="2">
        <v>187.0</v>
      </c>
      <c r="K51" s="2">
        <v>1.9</v>
      </c>
      <c r="L51" s="2">
        <v>71.32</v>
      </c>
      <c r="M51" s="2">
        <v>2.67</v>
      </c>
      <c r="N51" s="2">
        <v>34981.0</v>
      </c>
    </row>
    <row r="52">
      <c r="A52" s="1" t="s">
        <v>67</v>
      </c>
      <c r="B52" s="2">
        <v>36263.0</v>
      </c>
      <c r="C52" s="2">
        <v>1269.0</v>
      </c>
      <c r="D52" s="2">
        <v>25198.0</v>
      </c>
      <c r="E52" s="2">
        <v>9796.0</v>
      </c>
      <c r="F52" s="2">
        <v>3265.333333</v>
      </c>
      <c r="G52" s="3" t="s">
        <v>15</v>
      </c>
      <c r="H52" s="2">
        <v>106.0</v>
      </c>
      <c r="I52" s="2">
        <v>10.0</v>
      </c>
      <c r="J52" s="2">
        <v>18.0</v>
      </c>
      <c r="K52" s="2">
        <v>3.5</v>
      </c>
      <c r="L52" s="2">
        <v>69.49</v>
      </c>
      <c r="M52" s="2">
        <v>5.04</v>
      </c>
      <c r="N52" s="2">
        <v>35526.0</v>
      </c>
    </row>
    <row r="53">
      <c r="A53" s="1" t="s">
        <v>68</v>
      </c>
      <c r="B53" s="2">
        <v>34477.0</v>
      </c>
      <c r="C53" s="2">
        <v>1978.0</v>
      </c>
      <c r="D53" s="2">
        <v>30900.0</v>
      </c>
      <c r="E53" s="2">
        <v>1599.0</v>
      </c>
      <c r="F53" s="2">
        <v>533.0</v>
      </c>
      <c r="G53" s="3" t="s">
        <v>21</v>
      </c>
      <c r="H53" s="2">
        <v>65.0</v>
      </c>
      <c r="I53" s="2">
        <v>1.0</v>
      </c>
      <c r="J53" s="2">
        <v>200.0</v>
      </c>
      <c r="K53" s="2">
        <v>5.74</v>
      </c>
      <c r="L53" s="2">
        <v>89.62</v>
      </c>
      <c r="M53" s="2">
        <v>6.4</v>
      </c>
      <c r="N53" s="2">
        <v>33634.0</v>
      </c>
    </row>
    <row r="54">
      <c r="A54" s="1" t="s">
        <v>69</v>
      </c>
      <c r="B54" s="2">
        <v>33624.0</v>
      </c>
      <c r="C54" s="2">
        <v>168.0</v>
      </c>
      <c r="D54" s="2">
        <v>29801.0</v>
      </c>
      <c r="E54" s="2">
        <v>3655.0</v>
      </c>
      <c r="F54" s="2">
        <v>1218.333333</v>
      </c>
      <c r="G54" s="3" t="s">
        <v>15</v>
      </c>
      <c r="H54" s="2">
        <v>655.0</v>
      </c>
      <c r="I54" s="2">
        <v>0.0</v>
      </c>
      <c r="J54" s="2">
        <v>307.0</v>
      </c>
      <c r="K54" s="2">
        <v>0.5</v>
      </c>
      <c r="L54" s="2">
        <v>88.63</v>
      </c>
      <c r="M54" s="2">
        <v>0.56</v>
      </c>
      <c r="N54" s="2">
        <v>28430.0</v>
      </c>
    </row>
    <row r="55">
      <c r="A55" s="1" t="s">
        <v>70</v>
      </c>
      <c r="B55" s="2">
        <v>33296.0</v>
      </c>
      <c r="C55" s="2">
        <v>1301.0</v>
      </c>
      <c r="D55" s="2">
        <v>21205.0</v>
      </c>
      <c r="E55" s="2">
        <v>10790.0</v>
      </c>
      <c r="F55" s="2">
        <v>3596.666667</v>
      </c>
      <c r="G55" s="3" t="s">
        <v>15</v>
      </c>
      <c r="H55" s="2">
        <v>483.0</v>
      </c>
      <c r="I55" s="2">
        <v>24.0</v>
      </c>
      <c r="J55" s="2">
        <v>817.0</v>
      </c>
      <c r="K55" s="2">
        <v>3.91</v>
      </c>
      <c r="L55" s="2">
        <v>63.69</v>
      </c>
      <c r="M55" s="2">
        <v>6.14</v>
      </c>
      <c r="N55" s="2">
        <v>27143.0</v>
      </c>
    </row>
    <row r="56">
      <c r="A56" s="1" t="s">
        <v>71</v>
      </c>
      <c r="B56" s="2">
        <v>31142.0</v>
      </c>
      <c r="C56" s="2">
        <v>998.0</v>
      </c>
      <c r="D56" s="2">
        <v>21970.0</v>
      </c>
      <c r="E56" s="2">
        <v>8174.0</v>
      </c>
      <c r="F56" s="2">
        <v>2724.666667</v>
      </c>
      <c r="G56" s="3" t="s">
        <v>15</v>
      </c>
      <c r="H56" s="2">
        <v>594.0</v>
      </c>
      <c r="I56" s="2">
        <v>0.0</v>
      </c>
      <c r="J56" s="2">
        <v>364.0</v>
      </c>
      <c r="K56" s="2">
        <v>3.2</v>
      </c>
      <c r="L56" s="2">
        <v>70.55</v>
      </c>
      <c r="M56" s="2">
        <v>4.54</v>
      </c>
      <c r="N56" s="2">
        <v>25706.0</v>
      </c>
    </row>
    <row r="57">
      <c r="A57" s="1" t="s">
        <v>72</v>
      </c>
      <c r="B57" s="2">
        <v>30446.0</v>
      </c>
      <c r="C57" s="2">
        <v>423.0</v>
      </c>
      <c r="D57" s="2">
        <v>23242.0</v>
      </c>
      <c r="E57" s="2">
        <v>6781.0</v>
      </c>
      <c r="F57" s="2">
        <v>2260.333333</v>
      </c>
      <c r="G57" s="3" t="s">
        <v>15</v>
      </c>
      <c r="H57" s="2">
        <v>396.0</v>
      </c>
      <c r="I57" s="2">
        <v>6.0</v>
      </c>
      <c r="J57" s="2">
        <v>558.0</v>
      </c>
      <c r="K57" s="2">
        <v>1.39</v>
      </c>
      <c r="L57" s="2">
        <v>76.34</v>
      </c>
      <c r="M57" s="2">
        <v>1.82</v>
      </c>
      <c r="N57" s="2">
        <v>27890.0</v>
      </c>
    </row>
    <row r="58">
      <c r="A58" s="1" t="s">
        <v>73</v>
      </c>
      <c r="B58" s="2">
        <v>27973.0</v>
      </c>
      <c r="C58" s="2">
        <v>1163.0</v>
      </c>
      <c r="D58" s="2">
        <v>18837.0</v>
      </c>
      <c r="E58" s="2">
        <v>7973.0</v>
      </c>
      <c r="F58" s="2">
        <v>2657.666667</v>
      </c>
      <c r="G58" s="3" t="s">
        <v>15</v>
      </c>
      <c r="H58" s="2">
        <v>616.0</v>
      </c>
      <c r="I58" s="2">
        <v>8.0</v>
      </c>
      <c r="J58" s="2">
        <v>749.0</v>
      </c>
      <c r="K58" s="2">
        <v>4.16</v>
      </c>
      <c r="L58" s="2">
        <v>67.34</v>
      </c>
      <c r="M58" s="2">
        <v>6.17</v>
      </c>
      <c r="N58" s="2">
        <v>23691.0</v>
      </c>
    </row>
    <row r="59">
      <c r="A59" s="1" t="s">
        <v>74</v>
      </c>
      <c r="B59" s="2">
        <v>25892.0</v>
      </c>
      <c r="C59" s="2">
        <v>1764.0</v>
      </c>
      <c r="D59" s="2">
        <v>23364.0</v>
      </c>
      <c r="E59" s="2">
        <v>764.0</v>
      </c>
      <c r="F59" s="2">
        <v>254.6666667</v>
      </c>
      <c r="G59" s="3" t="s">
        <v>21</v>
      </c>
      <c r="H59" s="2">
        <v>11.0</v>
      </c>
      <c r="I59" s="2">
        <v>0.0</v>
      </c>
      <c r="J59" s="2">
        <v>0.0</v>
      </c>
      <c r="K59" s="2">
        <v>6.81</v>
      </c>
      <c r="L59" s="2">
        <v>90.24</v>
      </c>
      <c r="M59" s="2">
        <v>7.55</v>
      </c>
      <c r="N59" s="2">
        <v>25766.0</v>
      </c>
    </row>
    <row r="60">
      <c r="A60" s="1" t="s">
        <v>75</v>
      </c>
      <c r="B60" s="2">
        <v>24141.0</v>
      </c>
      <c r="C60" s="2">
        <v>543.0</v>
      </c>
      <c r="D60" s="2">
        <v>0.0</v>
      </c>
      <c r="E60" s="2">
        <v>23598.0</v>
      </c>
      <c r="F60" s="2">
        <v>7866.0</v>
      </c>
      <c r="G60" s="3" t="s">
        <v>15</v>
      </c>
      <c r="H60" s="2">
        <v>411.0</v>
      </c>
      <c r="I60" s="2">
        <v>9.0</v>
      </c>
      <c r="J60" s="2">
        <v>0.0</v>
      </c>
      <c r="K60" s="2">
        <v>2.25</v>
      </c>
      <c r="L60" s="2">
        <v>0.0</v>
      </c>
      <c r="M60" s="1" t="s">
        <v>37</v>
      </c>
      <c r="N60" s="2">
        <v>21253.0</v>
      </c>
    </row>
    <row r="61">
      <c r="A61" s="1" t="s">
        <v>76</v>
      </c>
      <c r="B61" s="2">
        <v>23154.0</v>
      </c>
      <c r="C61" s="2">
        <v>748.0</v>
      </c>
      <c r="D61" s="2">
        <v>16154.0</v>
      </c>
      <c r="E61" s="2">
        <v>6252.0</v>
      </c>
      <c r="F61" s="2">
        <v>2084.0</v>
      </c>
      <c r="G61" s="3" t="s">
        <v>15</v>
      </c>
      <c r="H61" s="2">
        <v>120.0</v>
      </c>
      <c r="I61" s="2">
        <v>13.0</v>
      </c>
      <c r="J61" s="2">
        <v>245.0</v>
      </c>
      <c r="K61" s="2">
        <v>3.23</v>
      </c>
      <c r="L61" s="2">
        <v>69.77</v>
      </c>
      <c r="M61" s="2">
        <v>4.63</v>
      </c>
      <c r="N61" s="2">
        <v>21115.0</v>
      </c>
    </row>
    <row r="62">
      <c r="A62" s="1" t="s">
        <v>77</v>
      </c>
      <c r="B62" s="2">
        <v>21209.0</v>
      </c>
      <c r="C62" s="2">
        <v>121.0</v>
      </c>
      <c r="D62" s="2">
        <v>11674.0</v>
      </c>
      <c r="E62" s="2">
        <v>9414.0</v>
      </c>
      <c r="F62" s="2">
        <v>3138.0</v>
      </c>
      <c r="G62" s="3" t="s">
        <v>15</v>
      </c>
      <c r="H62" s="2">
        <v>678.0</v>
      </c>
      <c r="I62" s="2">
        <v>5.0</v>
      </c>
      <c r="J62" s="2">
        <v>569.0</v>
      </c>
      <c r="K62" s="2">
        <v>0.57</v>
      </c>
      <c r="L62" s="2">
        <v>55.04</v>
      </c>
      <c r="M62" s="2">
        <v>1.04</v>
      </c>
      <c r="N62" s="2">
        <v>17149.0</v>
      </c>
    </row>
    <row r="63">
      <c r="A63" s="1" t="s">
        <v>78</v>
      </c>
      <c r="B63" s="2">
        <v>20887.0</v>
      </c>
      <c r="C63" s="2">
        <v>316.0</v>
      </c>
      <c r="D63" s="2">
        <v>16553.0</v>
      </c>
      <c r="E63" s="2">
        <v>4018.0</v>
      </c>
      <c r="F63" s="2">
        <v>1339.333333</v>
      </c>
      <c r="G63" s="3" t="s">
        <v>15</v>
      </c>
      <c r="H63" s="2">
        <v>609.0</v>
      </c>
      <c r="I63" s="2">
        <v>3.0</v>
      </c>
      <c r="J63" s="2">
        <v>115.0</v>
      </c>
      <c r="K63" s="2">
        <v>1.51</v>
      </c>
      <c r="L63" s="2">
        <v>79.25</v>
      </c>
      <c r="M63" s="2">
        <v>1.91</v>
      </c>
      <c r="N63" s="2">
        <v>17562.0</v>
      </c>
    </row>
    <row r="64">
      <c r="A64" s="1" t="s">
        <v>79</v>
      </c>
      <c r="B64" s="2">
        <v>20558.0</v>
      </c>
      <c r="C64" s="2">
        <v>713.0</v>
      </c>
      <c r="D64" s="2">
        <v>18246.0</v>
      </c>
      <c r="E64" s="2">
        <v>1599.0</v>
      </c>
      <c r="F64" s="2">
        <v>533.0</v>
      </c>
      <c r="G64" s="3" t="s">
        <v>21</v>
      </c>
      <c r="H64" s="2">
        <v>86.0</v>
      </c>
      <c r="I64" s="2">
        <v>1.0</v>
      </c>
      <c r="J64" s="2">
        <v>37.0</v>
      </c>
      <c r="K64" s="2">
        <v>3.47</v>
      </c>
      <c r="L64" s="2">
        <v>88.75</v>
      </c>
      <c r="M64" s="2">
        <v>3.91</v>
      </c>
      <c r="N64" s="2">
        <v>19743.0</v>
      </c>
    </row>
    <row r="65">
      <c r="A65" s="1" t="s">
        <v>80</v>
      </c>
      <c r="B65" s="2">
        <v>18752.0</v>
      </c>
      <c r="C65" s="2">
        <v>48.0</v>
      </c>
      <c r="D65" s="2">
        <v>13754.0</v>
      </c>
      <c r="E65" s="2">
        <v>4950.0</v>
      </c>
      <c r="F65" s="2">
        <v>1650.0</v>
      </c>
      <c r="G65" s="3" t="s">
        <v>15</v>
      </c>
      <c r="H65" s="2">
        <v>139.0</v>
      </c>
      <c r="I65" s="2">
        <v>3.0</v>
      </c>
      <c r="J65" s="2">
        <v>626.0</v>
      </c>
      <c r="K65" s="2">
        <v>0.26</v>
      </c>
      <c r="L65" s="2">
        <v>73.35</v>
      </c>
      <c r="M65" s="2">
        <v>0.35</v>
      </c>
      <c r="N65" s="2">
        <v>17844.0</v>
      </c>
    </row>
    <row r="66">
      <c r="A66" s="1" t="s">
        <v>81</v>
      </c>
      <c r="B66" s="2">
        <v>17975.0</v>
      </c>
      <c r="C66" s="2">
        <v>285.0</v>
      </c>
      <c r="D66" s="2">
        <v>7833.0</v>
      </c>
      <c r="E66" s="2">
        <v>9857.0</v>
      </c>
      <c r="F66" s="2">
        <v>3285.666667</v>
      </c>
      <c r="G66" s="3" t="s">
        <v>15</v>
      </c>
      <c r="H66" s="2">
        <v>372.0</v>
      </c>
      <c r="I66" s="2">
        <v>5.0</v>
      </c>
      <c r="J66" s="2">
        <v>90.0</v>
      </c>
      <c r="K66" s="2">
        <v>1.59</v>
      </c>
      <c r="L66" s="2">
        <v>43.58</v>
      </c>
      <c r="M66" s="2">
        <v>3.64</v>
      </c>
      <c r="N66" s="2">
        <v>13771.0</v>
      </c>
    </row>
    <row r="67">
      <c r="A67" s="1" t="s">
        <v>82</v>
      </c>
      <c r="B67" s="2">
        <v>17110.0</v>
      </c>
      <c r="C67" s="2">
        <v>391.0</v>
      </c>
      <c r="D67" s="2">
        <v>14539.0</v>
      </c>
      <c r="E67" s="2">
        <v>2180.0</v>
      </c>
      <c r="F67" s="2">
        <v>726.6666667</v>
      </c>
      <c r="G67" s="3" t="s">
        <v>15</v>
      </c>
      <c r="H67" s="2">
        <v>402.0</v>
      </c>
      <c r="I67" s="2">
        <v>6.0</v>
      </c>
      <c r="J67" s="2">
        <v>0.0</v>
      </c>
      <c r="K67" s="2">
        <v>2.29</v>
      </c>
      <c r="L67" s="2">
        <v>84.97</v>
      </c>
      <c r="M67" s="2">
        <v>2.69</v>
      </c>
      <c r="N67" s="2">
        <v>16157.0</v>
      </c>
    </row>
    <row r="68">
      <c r="A68" s="1" t="s">
        <v>83</v>
      </c>
      <c r="B68" s="2">
        <v>15988.0</v>
      </c>
      <c r="C68" s="2">
        <v>146.0</v>
      </c>
      <c r="D68" s="2">
        <v>9959.0</v>
      </c>
      <c r="E68" s="2">
        <v>5883.0</v>
      </c>
      <c r="F68" s="2">
        <v>1961.0</v>
      </c>
      <c r="G68" s="3" t="s">
        <v>15</v>
      </c>
      <c r="H68" s="2">
        <v>525.0</v>
      </c>
      <c r="I68" s="2">
        <v>4.0</v>
      </c>
      <c r="J68" s="2">
        <v>213.0</v>
      </c>
      <c r="K68" s="2">
        <v>0.91</v>
      </c>
      <c r="L68" s="2">
        <v>62.29</v>
      </c>
      <c r="M68" s="2">
        <v>1.47</v>
      </c>
      <c r="N68" s="2">
        <v>12334.0</v>
      </c>
    </row>
    <row r="69">
      <c r="A69" s="1" t="s">
        <v>84</v>
      </c>
      <c r="B69" s="2">
        <v>15841.0</v>
      </c>
      <c r="C69" s="2">
        <v>115.0</v>
      </c>
      <c r="D69" s="2">
        <v>3824.0</v>
      </c>
      <c r="E69" s="2">
        <v>11902.0</v>
      </c>
      <c r="F69" s="2">
        <v>3967.333333</v>
      </c>
      <c r="G69" s="3" t="s">
        <v>15</v>
      </c>
      <c r="H69" s="2">
        <v>612.0</v>
      </c>
      <c r="I69" s="2">
        <v>11.0</v>
      </c>
      <c r="J69" s="2">
        <v>88.0</v>
      </c>
      <c r="K69" s="2">
        <v>0.73</v>
      </c>
      <c r="L69" s="2">
        <v>24.14</v>
      </c>
      <c r="M69" s="2">
        <v>3.01</v>
      </c>
      <c r="N69" s="2">
        <v>11534.0</v>
      </c>
    </row>
    <row r="70">
      <c r="A70" s="1" t="s">
        <v>85</v>
      </c>
      <c r="B70" s="2">
        <v>15655.0</v>
      </c>
      <c r="C70" s="2">
        <v>96.0</v>
      </c>
      <c r="D70" s="2">
        <v>10361.0</v>
      </c>
      <c r="E70" s="2">
        <v>5198.0</v>
      </c>
      <c r="F70" s="2">
        <v>1732.666667</v>
      </c>
      <c r="G70" s="3" t="s">
        <v>15</v>
      </c>
      <c r="H70" s="2">
        <v>59.0</v>
      </c>
      <c r="I70" s="2">
        <v>0.0</v>
      </c>
      <c r="J70" s="2">
        <v>183.0</v>
      </c>
      <c r="K70" s="2">
        <v>0.61</v>
      </c>
      <c r="L70" s="2">
        <v>66.18</v>
      </c>
      <c r="M70" s="2">
        <v>0.93</v>
      </c>
      <c r="N70" s="2">
        <v>14312.0</v>
      </c>
    </row>
    <row r="71">
      <c r="A71" s="1" t="s">
        <v>86</v>
      </c>
      <c r="B71" s="2">
        <v>15516.0</v>
      </c>
      <c r="C71" s="2">
        <v>373.0</v>
      </c>
      <c r="D71" s="2">
        <v>11428.0</v>
      </c>
      <c r="E71" s="2">
        <v>3715.0</v>
      </c>
      <c r="F71" s="2">
        <v>1238.333333</v>
      </c>
      <c r="G71" s="3" t="s">
        <v>15</v>
      </c>
      <c r="H71" s="2">
        <v>192.0</v>
      </c>
      <c r="I71" s="2">
        <v>2.0</v>
      </c>
      <c r="J71" s="2">
        <v>0.0</v>
      </c>
      <c r="K71" s="2">
        <v>2.4</v>
      </c>
      <c r="L71" s="2">
        <v>73.65</v>
      </c>
      <c r="M71" s="2">
        <v>3.26</v>
      </c>
      <c r="N71" s="2">
        <v>14098.0</v>
      </c>
    </row>
    <row r="72">
      <c r="A72" s="1" t="s">
        <v>87</v>
      </c>
      <c r="B72" s="2">
        <v>15303.0</v>
      </c>
      <c r="C72" s="2">
        <v>167.0</v>
      </c>
      <c r="D72" s="2">
        <v>9311.0</v>
      </c>
      <c r="E72" s="2">
        <v>5825.0</v>
      </c>
      <c r="F72" s="2">
        <v>1941.666667</v>
      </c>
      <c r="G72" s="3" t="s">
        <v>15</v>
      </c>
      <c r="H72" s="2">
        <v>368.0</v>
      </c>
      <c r="I72" s="2">
        <v>6.0</v>
      </c>
      <c r="J72" s="2">
        <v>137.0</v>
      </c>
      <c r="K72" s="2">
        <v>1.09</v>
      </c>
      <c r="L72" s="2">
        <v>60.84</v>
      </c>
      <c r="M72" s="2">
        <v>1.79</v>
      </c>
      <c r="N72" s="2">
        <v>12428.0</v>
      </c>
    </row>
    <row r="73">
      <c r="A73" s="1" t="s">
        <v>88</v>
      </c>
      <c r="B73" s="2">
        <v>15035.0</v>
      </c>
      <c r="C73" s="2">
        <v>408.0</v>
      </c>
      <c r="D73" s="2">
        <v>7778.0</v>
      </c>
      <c r="E73" s="2">
        <v>6849.0</v>
      </c>
      <c r="F73" s="2">
        <v>2283.0</v>
      </c>
      <c r="G73" s="3" t="s">
        <v>15</v>
      </c>
      <c r="H73" s="2">
        <v>405.0</v>
      </c>
      <c r="I73" s="2">
        <v>8.0</v>
      </c>
      <c r="J73" s="2">
        <v>130.0</v>
      </c>
      <c r="K73" s="2">
        <v>2.71</v>
      </c>
      <c r="L73" s="2">
        <v>51.73</v>
      </c>
      <c r="M73" s="2">
        <v>5.25</v>
      </c>
      <c r="N73" s="2">
        <v>12207.0</v>
      </c>
    </row>
    <row r="74">
      <c r="A74" s="1" t="s">
        <v>89</v>
      </c>
      <c r="B74" s="2">
        <v>14547.0</v>
      </c>
      <c r="C74" s="2">
        <v>228.0</v>
      </c>
      <c r="D74" s="2">
        <v>6386.0</v>
      </c>
      <c r="E74" s="2">
        <v>7933.0</v>
      </c>
      <c r="F74" s="2">
        <v>2644.333333</v>
      </c>
      <c r="G74" s="3" t="s">
        <v>15</v>
      </c>
      <c r="H74" s="2">
        <v>579.0</v>
      </c>
      <c r="I74" s="2">
        <v>5.0</v>
      </c>
      <c r="J74" s="2">
        <v>170.0</v>
      </c>
      <c r="K74" s="2">
        <v>1.57</v>
      </c>
      <c r="L74" s="2">
        <v>43.9</v>
      </c>
      <c r="M74" s="2">
        <v>3.57</v>
      </c>
      <c r="N74" s="2">
        <v>10207.0</v>
      </c>
    </row>
    <row r="75">
      <c r="A75" s="1" t="s">
        <v>90</v>
      </c>
      <c r="B75" s="2">
        <v>14203.0</v>
      </c>
      <c r="C75" s="2">
        <v>300.0</v>
      </c>
      <c r="D75" s="2">
        <v>13007.0</v>
      </c>
      <c r="E75" s="2">
        <v>896.0</v>
      </c>
      <c r="F75" s="2">
        <v>298.6666667</v>
      </c>
      <c r="G75" s="3" t="s">
        <v>21</v>
      </c>
      <c r="H75" s="2">
        <v>28.0</v>
      </c>
      <c r="I75" s="2">
        <v>1.0</v>
      </c>
      <c r="J75" s="2">
        <v>102.0</v>
      </c>
      <c r="K75" s="2">
        <v>2.11</v>
      </c>
      <c r="L75" s="2">
        <v>91.58</v>
      </c>
      <c r="M75" s="2">
        <v>2.31</v>
      </c>
      <c r="N75" s="2">
        <v>13816.0</v>
      </c>
    </row>
    <row r="76">
      <c r="A76" s="1" t="s">
        <v>91</v>
      </c>
      <c r="B76" s="2">
        <v>13761.0</v>
      </c>
      <c r="C76" s="2">
        <v>613.0</v>
      </c>
      <c r="D76" s="2">
        <v>12605.0</v>
      </c>
      <c r="E76" s="2">
        <v>543.0</v>
      </c>
      <c r="F76" s="2">
        <v>181.0</v>
      </c>
      <c r="G76" s="3" t="s">
        <v>21</v>
      </c>
      <c r="H76" s="2">
        <v>109.0</v>
      </c>
      <c r="I76" s="2">
        <v>0.0</v>
      </c>
      <c r="J76" s="2">
        <v>77.0</v>
      </c>
      <c r="K76" s="2">
        <v>4.45</v>
      </c>
      <c r="L76" s="2">
        <v>91.6</v>
      </c>
      <c r="M76" s="2">
        <v>4.86</v>
      </c>
      <c r="N76" s="2">
        <v>13453.0</v>
      </c>
    </row>
    <row r="77">
      <c r="A77" s="1" t="s">
        <v>92</v>
      </c>
      <c r="B77" s="2">
        <v>11424.0</v>
      </c>
      <c r="C77" s="2">
        <v>720.0</v>
      </c>
      <c r="D77" s="2">
        <v>5939.0</v>
      </c>
      <c r="E77" s="2">
        <v>4765.0</v>
      </c>
      <c r="F77" s="2">
        <v>1588.333333</v>
      </c>
      <c r="G77" s="3" t="s">
        <v>15</v>
      </c>
      <c r="H77" s="2">
        <v>39.0</v>
      </c>
      <c r="I77" s="2">
        <v>3.0</v>
      </c>
      <c r="J77" s="2">
        <v>49.0</v>
      </c>
      <c r="K77" s="2">
        <v>6.3</v>
      </c>
      <c r="L77" s="2">
        <v>51.99</v>
      </c>
      <c r="M77" s="2">
        <v>12.12</v>
      </c>
      <c r="N77" s="2">
        <v>10992.0</v>
      </c>
    </row>
    <row r="78">
      <c r="A78" s="1" t="s">
        <v>93</v>
      </c>
      <c r="B78" s="2">
        <v>10621.0</v>
      </c>
      <c r="C78" s="2">
        <v>347.0</v>
      </c>
      <c r="D78" s="2">
        <v>5585.0</v>
      </c>
      <c r="E78" s="2">
        <v>4689.0</v>
      </c>
      <c r="F78" s="2">
        <v>1563.0</v>
      </c>
      <c r="G78" s="3" t="s">
        <v>15</v>
      </c>
      <c r="H78" s="2">
        <v>194.0</v>
      </c>
      <c r="I78" s="2">
        <v>7.0</v>
      </c>
      <c r="J78" s="2">
        <v>230.0</v>
      </c>
      <c r="K78" s="2">
        <v>3.27</v>
      </c>
      <c r="L78" s="2">
        <v>52.58</v>
      </c>
      <c r="M78" s="2">
        <v>6.21</v>
      </c>
      <c r="N78" s="2">
        <v>8929.0</v>
      </c>
    </row>
    <row r="79">
      <c r="A79" s="1" t="s">
        <v>94</v>
      </c>
      <c r="B79" s="2">
        <v>10621.0</v>
      </c>
      <c r="C79" s="2">
        <v>78.0</v>
      </c>
      <c r="D79" s="2">
        <v>3752.0</v>
      </c>
      <c r="E79" s="2">
        <v>6791.0</v>
      </c>
      <c r="F79" s="2">
        <v>2263.666667</v>
      </c>
      <c r="G79" s="3" t="s">
        <v>15</v>
      </c>
      <c r="H79" s="2">
        <v>152.0</v>
      </c>
      <c r="I79" s="2">
        <v>2.0</v>
      </c>
      <c r="J79" s="2">
        <v>0.0</v>
      </c>
      <c r="K79" s="2">
        <v>0.73</v>
      </c>
      <c r="L79" s="2">
        <v>35.33</v>
      </c>
      <c r="M79" s="2">
        <v>2.08</v>
      </c>
      <c r="N79" s="2">
        <v>8916.0</v>
      </c>
    </row>
    <row r="80">
      <c r="A80" s="1" t="s">
        <v>95</v>
      </c>
      <c r="B80" s="2">
        <v>10498.0</v>
      </c>
      <c r="C80" s="2">
        <v>294.0</v>
      </c>
      <c r="D80" s="2">
        <v>4930.0</v>
      </c>
      <c r="E80" s="2">
        <v>5274.0</v>
      </c>
      <c r="F80" s="2">
        <v>1758.0</v>
      </c>
      <c r="G80" s="3" t="s">
        <v>15</v>
      </c>
      <c r="H80" s="2">
        <v>731.0</v>
      </c>
      <c r="I80" s="2">
        <v>14.0</v>
      </c>
      <c r="J80" s="2">
        <v>375.0</v>
      </c>
      <c r="K80" s="2">
        <v>2.8</v>
      </c>
      <c r="L80" s="2">
        <v>46.96</v>
      </c>
      <c r="M80" s="2">
        <v>5.96</v>
      </c>
      <c r="N80" s="2">
        <v>8479.0</v>
      </c>
    </row>
    <row r="81">
      <c r="A81" s="1" t="s">
        <v>96</v>
      </c>
      <c r="B81" s="2">
        <v>10213.0</v>
      </c>
      <c r="C81" s="2">
        <v>466.0</v>
      </c>
      <c r="D81" s="2">
        <v>5564.0</v>
      </c>
      <c r="E81" s="2">
        <v>4183.0</v>
      </c>
      <c r="F81" s="2">
        <v>1394.333333</v>
      </c>
      <c r="G81" s="3" t="s">
        <v>15</v>
      </c>
      <c r="H81" s="2">
        <v>127.0</v>
      </c>
      <c r="I81" s="2">
        <v>6.0</v>
      </c>
      <c r="J81" s="2">
        <v>137.0</v>
      </c>
      <c r="K81" s="2">
        <v>4.56</v>
      </c>
      <c r="L81" s="2">
        <v>54.48</v>
      </c>
      <c r="M81" s="2">
        <v>8.38</v>
      </c>
      <c r="N81" s="2">
        <v>9249.0</v>
      </c>
    </row>
    <row r="82">
      <c r="A82" s="1" t="s">
        <v>97</v>
      </c>
      <c r="B82" s="2">
        <v>9764.0</v>
      </c>
      <c r="C82" s="2">
        <v>194.0</v>
      </c>
      <c r="D82" s="2">
        <v>6477.0</v>
      </c>
      <c r="E82" s="2">
        <v>3093.0</v>
      </c>
      <c r="F82" s="2">
        <v>1031.0</v>
      </c>
      <c r="G82" s="3" t="s">
        <v>15</v>
      </c>
      <c r="H82" s="2">
        <v>83.0</v>
      </c>
      <c r="I82" s="2">
        <v>3.0</v>
      </c>
      <c r="J82" s="2">
        <v>68.0</v>
      </c>
      <c r="K82" s="2">
        <v>1.99</v>
      </c>
      <c r="L82" s="2">
        <v>66.34</v>
      </c>
      <c r="M82" s="2">
        <v>3.0</v>
      </c>
      <c r="N82" s="2">
        <v>8948.0</v>
      </c>
    </row>
    <row r="83">
      <c r="A83" s="1" t="s">
        <v>98</v>
      </c>
      <c r="B83" s="2">
        <v>9690.0</v>
      </c>
      <c r="C83" s="2">
        <v>91.0</v>
      </c>
      <c r="D83" s="2">
        <v>6260.0</v>
      </c>
      <c r="E83" s="2">
        <v>3339.0</v>
      </c>
      <c r="F83" s="2">
        <v>1113.0</v>
      </c>
      <c r="G83" s="3" t="s">
        <v>15</v>
      </c>
      <c r="H83" s="2">
        <v>395.0</v>
      </c>
      <c r="I83" s="2">
        <v>6.0</v>
      </c>
      <c r="J83" s="2">
        <v>681.0</v>
      </c>
      <c r="K83" s="2">
        <v>0.94</v>
      </c>
      <c r="L83" s="2">
        <v>64.6</v>
      </c>
      <c r="M83" s="2">
        <v>1.45</v>
      </c>
      <c r="N83" s="2">
        <v>7153.0</v>
      </c>
    </row>
    <row r="84">
      <c r="A84" s="1" t="s">
        <v>99</v>
      </c>
      <c r="B84" s="2">
        <v>9132.0</v>
      </c>
      <c r="C84" s="2">
        <v>255.0</v>
      </c>
      <c r="D84" s="2">
        <v>8752.0</v>
      </c>
      <c r="E84" s="2">
        <v>125.0</v>
      </c>
      <c r="F84" s="2">
        <v>41.66666667</v>
      </c>
      <c r="G84" s="3" t="s">
        <v>21</v>
      </c>
      <c r="H84" s="2">
        <v>15.0</v>
      </c>
      <c r="I84" s="2">
        <v>0.0</v>
      </c>
      <c r="J84" s="2">
        <v>0.0</v>
      </c>
      <c r="K84" s="2">
        <v>2.79</v>
      </c>
      <c r="L84" s="2">
        <v>95.84</v>
      </c>
      <c r="M84" s="2">
        <v>2.91</v>
      </c>
      <c r="N84" s="2">
        <v>9034.0</v>
      </c>
    </row>
    <row r="85">
      <c r="A85" s="1" t="s">
        <v>100</v>
      </c>
      <c r="B85" s="2">
        <v>8904.0</v>
      </c>
      <c r="C85" s="2">
        <v>124.0</v>
      </c>
      <c r="D85" s="2">
        <v>8601.0</v>
      </c>
      <c r="E85" s="2">
        <v>179.0</v>
      </c>
      <c r="F85" s="2">
        <v>59.66666667</v>
      </c>
      <c r="G85" s="3" t="s">
        <v>21</v>
      </c>
      <c r="H85" s="2">
        <v>7.0</v>
      </c>
      <c r="I85" s="2">
        <v>0.0</v>
      </c>
      <c r="J85" s="2">
        <v>1.0</v>
      </c>
      <c r="K85" s="2">
        <v>1.39</v>
      </c>
      <c r="L85" s="2">
        <v>96.6</v>
      </c>
      <c r="M85" s="2">
        <v>1.44</v>
      </c>
      <c r="N85" s="2">
        <v>8800.0</v>
      </c>
    </row>
    <row r="86">
      <c r="A86" s="1" t="s">
        <v>101</v>
      </c>
      <c r="B86" s="2">
        <v>8844.0</v>
      </c>
      <c r="C86" s="2">
        <v>208.0</v>
      </c>
      <c r="D86" s="2">
        <v>5700.0</v>
      </c>
      <c r="E86" s="2">
        <v>2936.0</v>
      </c>
      <c r="F86" s="2">
        <v>978.6666667</v>
      </c>
      <c r="G86" s="3" t="s">
        <v>15</v>
      </c>
      <c r="H86" s="2">
        <v>13.0</v>
      </c>
      <c r="I86" s="2">
        <v>4.0</v>
      </c>
      <c r="J86" s="2">
        <v>190.0</v>
      </c>
      <c r="K86" s="2">
        <v>2.35</v>
      </c>
      <c r="L86" s="2">
        <v>64.45</v>
      </c>
      <c r="M86" s="2">
        <v>3.65</v>
      </c>
      <c r="N86" s="2">
        <v>8443.0</v>
      </c>
    </row>
    <row r="87">
      <c r="A87" s="1" t="s">
        <v>102</v>
      </c>
      <c r="B87" s="2">
        <v>7413.0</v>
      </c>
      <c r="C87" s="2">
        <v>185.0</v>
      </c>
      <c r="D87" s="2">
        <v>4027.0</v>
      </c>
      <c r="E87" s="2">
        <v>3201.0</v>
      </c>
      <c r="F87" s="2">
        <v>1067.0</v>
      </c>
      <c r="G87" s="3" t="s">
        <v>15</v>
      </c>
      <c r="H87" s="2">
        <v>496.0</v>
      </c>
      <c r="I87" s="2">
        <v>16.0</v>
      </c>
      <c r="J87" s="2">
        <v>274.0</v>
      </c>
      <c r="K87" s="2">
        <v>2.5</v>
      </c>
      <c r="L87" s="2">
        <v>54.32</v>
      </c>
      <c r="M87" s="2">
        <v>4.59</v>
      </c>
      <c r="N87" s="2">
        <v>5877.0</v>
      </c>
    </row>
    <row r="88">
      <c r="A88" s="1" t="s">
        <v>103</v>
      </c>
      <c r="B88" s="2">
        <v>7398.0</v>
      </c>
      <c r="C88" s="2">
        <v>329.0</v>
      </c>
      <c r="D88" s="2">
        <v>6920.0</v>
      </c>
      <c r="E88" s="2">
        <v>149.0</v>
      </c>
      <c r="F88" s="2">
        <v>49.66666667</v>
      </c>
      <c r="G88" s="3" t="s">
        <v>21</v>
      </c>
      <c r="H88" s="2">
        <v>5.0</v>
      </c>
      <c r="I88" s="2">
        <v>0.0</v>
      </c>
      <c r="J88" s="2">
        <v>0.0</v>
      </c>
      <c r="K88" s="2">
        <v>4.45</v>
      </c>
      <c r="L88" s="2">
        <v>93.54</v>
      </c>
      <c r="M88" s="2">
        <v>4.75</v>
      </c>
      <c r="N88" s="2">
        <v>7340.0</v>
      </c>
    </row>
    <row r="89">
      <c r="A89" s="1" t="s">
        <v>104</v>
      </c>
      <c r="B89" s="2">
        <v>7340.0</v>
      </c>
      <c r="C89" s="2">
        <v>158.0</v>
      </c>
      <c r="D89" s="2">
        <v>4365.0</v>
      </c>
      <c r="E89" s="2">
        <v>2817.0</v>
      </c>
      <c r="F89" s="2">
        <v>939.0</v>
      </c>
      <c r="G89" s="3" t="s">
        <v>15</v>
      </c>
      <c r="H89" s="2">
        <v>25.0</v>
      </c>
      <c r="I89" s="2">
        <v>1.0</v>
      </c>
      <c r="J89" s="2">
        <v>0.0</v>
      </c>
      <c r="K89" s="2">
        <v>2.15</v>
      </c>
      <c r="L89" s="2">
        <v>59.47</v>
      </c>
      <c r="M89" s="2">
        <v>3.62</v>
      </c>
      <c r="N89" s="2">
        <v>7053.0</v>
      </c>
    </row>
    <row r="90">
      <c r="A90" s="1" t="s">
        <v>105</v>
      </c>
      <c r="B90" s="2">
        <v>7235.0</v>
      </c>
      <c r="C90" s="2">
        <v>60.0</v>
      </c>
      <c r="D90" s="2">
        <v>6028.0</v>
      </c>
      <c r="E90" s="2">
        <v>1147.0</v>
      </c>
      <c r="F90" s="2">
        <v>382.3333333</v>
      </c>
      <c r="G90" s="3" t="s">
        <v>15</v>
      </c>
      <c r="H90" s="2">
        <v>43.0</v>
      </c>
      <c r="I90" s="2">
        <v>1.0</v>
      </c>
      <c r="J90" s="2">
        <v>58.0</v>
      </c>
      <c r="K90" s="2">
        <v>0.83</v>
      </c>
      <c r="L90" s="2">
        <v>83.32</v>
      </c>
      <c r="M90" s="2">
        <v>1.0</v>
      </c>
      <c r="N90" s="2">
        <v>6921.0</v>
      </c>
    </row>
    <row r="91">
      <c r="A91" s="1" t="s">
        <v>106</v>
      </c>
      <c r="B91" s="2">
        <v>7189.0</v>
      </c>
      <c r="C91" s="2">
        <v>49.0</v>
      </c>
      <c r="D91" s="2">
        <v>4682.0</v>
      </c>
      <c r="E91" s="2">
        <v>2458.0</v>
      </c>
      <c r="F91" s="2">
        <v>819.3333333</v>
      </c>
      <c r="G91" s="3" t="s">
        <v>15</v>
      </c>
      <c r="H91" s="2">
        <v>205.0</v>
      </c>
      <c r="I91" s="2">
        <v>0.0</v>
      </c>
      <c r="J91" s="2">
        <v>219.0</v>
      </c>
      <c r="K91" s="2">
        <v>0.68</v>
      </c>
      <c r="L91" s="2">
        <v>65.13</v>
      </c>
      <c r="M91" s="2">
        <v>1.05</v>
      </c>
      <c r="N91" s="2">
        <v>6433.0</v>
      </c>
    </row>
    <row r="92">
      <c r="A92" s="1" t="s">
        <v>107</v>
      </c>
      <c r="B92" s="2">
        <v>7055.0</v>
      </c>
      <c r="C92" s="2">
        <v>45.0</v>
      </c>
      <c r="D92" s="2">
        <v>6257.0</v>
      </c>
      <c r="E92" s="2">
        <v>753.0</v>
      </c>
      <c r="F92" s="2">
        <v>251.0</v>
      </c>
      <c r="G92" s="3" t="s">
        <v>15</v>
      </c>
      <c r="H92" s="2">
        <v>47.0</v>
      </c>
      <c r="I92" s="2">
        <v>2.0</v>
      </c>
      <c r="J92" s="2">
        <v>105.0</v>
      </c>
      <c r="K92" s="2">
        <v>0.64</v>
      </c>
      <c r="L92" s="2">
        <v>88.69</v>
      </c>
      <c r="M92" s="2">
        <v>0.72</v>
      </c>
      <c r="N92" s="2">
        <v>6590.0</v>
      </c>
    </row>
    <row r="93">
      <c r="A93" s="1" t="s">
        <v>108</v>
      </c>
      <c r="B93" s="2">
        <v>6321.0</v>
      </c>
      <c r="C93" s="2">
        <v>112.0</v>
      </c>
      <c r="D93" s="2">
        <v>4825.0</v>
      </c>
      <c r="E93" s="2">
        <v>1384.0</v>
      </c>
      <c r="F93" s="2">
        <v>461.3333333</v>
      </c>
      <c r="G93" s="3" t="s">
        <v>15</v>
      </c>
      <c r="H93" s="2">
        <v>49.0</v>
      </c>
      <c r="I93" s="2">
        <v>0.0</v>
      </c>
      <c r="J93" s="2">
        <v>178.0</v>
      </c>
      <c r="K93" s="2">
        <v>1.77</v>
      </c>
      <c r="L93" s="2">
        <v>76.33</v>
      </c>
      <c r="M93" s="2">
        <v>2.32</v>
      </c>
      <c r="N93" s="2">
        <v>5639.0</v>
      </c>
    </row>
    <row r="94">
      <c r="A94" s="1" t="s">
        <v>109</v>
      </c>
      <c r="B94" s="2">
        <v>6208.0</v>
      </c>
      <c r="C94" s="2">
        <v>156.0</v>
      </c>
      <c r="D94" s="2">
        <v>4653.0</v>
      </c>
      <c r="E94" s="2">
        <v>1399.0</v>
      </c>
      <c r="F94" s="2">
        <v>466.3333333</v>
      </c>
      <c r="G94" s="3" t="s">
        <v>15</v>
      </c>
      <c r="H94" s="2">
        <v>37.0</v>
      </c>
      <c r="I94" s="2">
        <v>0.0</v>
      </c>
      <c r="J94" s="2">
        <v>223.0</v>
      </c>
      <c r="K94" s="2">
        <v>2.51</v>
      </c>
      <c r="L94" s="2">
        <v>74.95</v>
      </c>
      <c r="M94" s="2">
        <v>3.35</v>
      </c>
      <c r="N94" s="2">
        <v>5923.0</v>
      </c>
    </row>
    <row r="95">
      <c r="A95" s="1" t="s">
        <v>110</v>
      </c>
      <c r="B95" s="2">
        <v>5059.0</v>
      </c>
      <c r="C95" s="2">
        <v>58.0</v>
      </c>
      <c r="D95" s="2">
        <v>4977.0</v>
      </c>
      <c r="E95" s="2">
        <v>24.0</v>
      </c>
      <c r="F95" s="2">
        <v>8.0</v>
      </c>
      <c r="G95" s="3" t="s">
        <v>21</v>
      </c>
      <c r="H95" s="2">
        <v>9.0</v>
      </c>
      <c r="I95" s="2">
        <v>0.0</v>
      </c>
      <c r="J95" s="2">
        <v>11.0</v>
      </c>
      <c r="K95" s="2">
        <v>1.15</v>
      </c>
      <c r="L95" s="2">
        <v>98.38</v>
      </c>
      <c r="M95" s="2">
        <v>1.17</v>
      </c>
      <c r="N95" s="2">
        <v>5020.0</v>
      </c>
    </row>
    <row r="96">
      <c r="A96" s="1" t="s">
        <v>111</v>
      </c>
      <c r="B96" s="2">
        <v>4881.0</v>
      </c>
      <c r="C96" s="2">
        <v>139.0</v>
      </c>
      <c r="D96" s="2">
        <v>3936.0</v>
      </c>
      <c r="E96" s="2">
        <v>806.0</v>
      </c>
      <c r="F96" s="2">
        <v>268.6666667</v>
      </c>
      <c r="G96" s="3" t="s">
        <v>15</v>
      </c>
      <c r="H96" s="2">
        <v>24.0</v>
      </c>
      <c r="I96" s="2">
        <v>3.0</v>
      </c>
      <c r="J96" s="2">
        <v>70.0</v>
      </c>
      <c r="K96" s="2">
        <v>2.85</v>
      </c>
      <c r="L96" s="2">
        <v>80.64</v>
      </c>
      <c r="M96" s="2">
        <v>3.53</v>
      </c>
      <c r="N96" s="2">
        <v>4370.0</v>
      </c>
    </row>
    <row r="97">
      <c r="A97" s="1" t="s">
        <v>112</v>
      </c>
      <c r="B97" s="2">
        <v>4880.0</v>
      </c>
      <c r="C97" s="2">
        <v>144.0</v>
      </c>
      <c r="D97" s="2">
        <v>2745.0</v>
      </c>
      <c r="E97" s="2">
        <v>1991.0</v>
      </c>
      <c r="F97" s="2">
        <v>663.6666667</v>
      </c>
      <c r="G97" s="3" t="s">
        <v>15</v>
      </c>
      <c r="H97" s="2">
        <v>117.0</v>
      </c>
      <c r="I97" s="2">
        <v>6.0</v>
      </c>
      <c r="J97" s="2">
        <v>63.0</v>
      </c>
      <c r="K97" s="2">
        <v>2.95</v>
      </c>
      <c r="L97" s="2">
        <v>56.25</v>
      </c>
      <c r="M97" s="2">
        <v>5.25</v>
      </c>
      <c r="N97" s="2">
        <v>4171.0</v>
      </c>
    </row>
    <row r="98">
      <c r="A98" s="1" t="s">
        <v>113</v>
      </c>
      <c r="B98" s="2">
        <v>4599.0</v>
      </c>
      <c r="C98" s="2">
        <v>59.0</v>
      </c>
      <c r="D98" s="2">
        <v>1546.0</v>
      </c>
      <c r="E98" s="2">
        <v>2994.0</v>
      </c>
      <c r="F98" s="2">
        <v>998.0</v>
      </c>
      <c r="G98" s="3" t="s">
        <v>15</v>
      </c>
      <c r="H98" s="2">
        <v>0.0</v>
      </c>
      <c r="I98" s="2">
        <v>0.0</v>
      </c>
      <c r="J98" s="2">
        <v>0.0</v>
      </c>
      <c r="K98" s="2">
        <v>1.28</v>
      </c>
      <c r="L98" s="2">
        <v>33.62</v>
      </c>
      <c r="M98" s="2">
        <v>3.82</v>
      </c>
      <c r="N98" s="2">
        <v>4548.0</v>
      </c>
    </row>
    <row r="99">
      <c r="A99" s="1" t="s">
        <v>114</v>
      </c>
      <c r="B99" s="2">
        <v>4552.0</v>
      </c>
      <c r="C99" s="2">
        <v>140.0</v>
      </c>
      <c r="D99" s="2">
        <v>2815.0</v>
      </c>
      <c r="E99" s="2">
        <v>1597.0</v>
      </c>
      <c r="F99" s="2">
        <v>532.3333333</v>
      </c>
      <c r="G99" s="3" t="s">
        <v>15</v>
      </c>
      <c r="H99" s="2">
        <v>71.0</v>
      </c>
      <c r="I99" s="2">
        <v>1.0</v>
      </c>
      <c r="J99" s="2">
        <v>465.0</v>
      </c>
      <c r="K99" s="2">
        <v>3.08</v>
      </c>
      <c r="L99" s="2">
        <v>61.84</v>
      </c>
      <c r="M99" s="2">
        <v>4.97</v>
      </c>
      <c r="N99" s="2">
        <v>3326.0</v>
      </c>
    </row>
    <row r="100">
      <c r="A100" s="1" t="s">
        <v>115</v>
      </c>
      <c r="B100" s="2">
        <v>4548.0</v>
      </c>
      <c r="C100" s="2">
        <v>43.0</v>
      </c>
      <c r="D100" s="2">
        <v>2905.0</v>
      </c>
      <c r="E100" s="2">
        <v>1600.0</v>
      </c>
      <c r="F100" s="2">
        <v>533.3333333</v>
      </c>
      <c r="G100" s="3" t="s">
        <v>15</v>
      </c>
      <c r="H100" s="2">
        <v>104.0</v>
      </c>
      <c r="I100" s="2">
        <v>2.0</v>
      </c>
      <c r="J100" s="2">
        <v>111.0</v>
      </c>
      <c r="K100" s="2">
        <v>0.95</v>
      </c>
      <c r="L100" s="2">
        <v>63.87</v>
      </c>
      <c r="M100" s="2">
        <v>1.48</v>
      </c>
      <c r="N100" s="2">
        <v>3748.0</v>
      </c>
    </row>
    <row r="101">
      <c r="A101" s="1" t="s">
        <v>116</v>
      </c>
      <c r="B101" s="2">
        <v>4448.0</v>
      </c>
      <c r="C101" s="2">
        <v>596.0</v>
      </c>
      <c r="D101" s="2">
        <v>3329.0</v>
      </c>
      <c r="E101" s="2">
        <v>523.0</v>
      </c>
      <c r="F101" s="2">
        <v>174.3333333</v>
      </c>
      <c r="G101" s="3" t="s">
        <v>21</v>
      </c>
      <c r="H101" s="2">
        <v>13.0</v>
      </c>
      <c r="I101" s="2">
        <v>0.0</v>
      </c>
      <c r="J101" s="2">
        <v>0.0</v>
      </c>
      <c r="K101" s="2">
        <v>13.4</v>
      </c>
      <c r="L101" s="2">
        <v>74.84</v>
      </c>
      <c r="M101" s="2">
        <v>17.9</v>
      </c>
      <c r="N101" s="2">
        <v>4339.0</v>
      </c>
    </row>
    <row r="102">
      <c r="A102" s="1" t="s">
        <v>117</v>
      </c>
      <c r="B102" s="2">
        <v>4227.0</v>
      </c>
      <c r="C102" s="2">
        <v>202.0</v>
      </c>
      <c r="D102" s="2">
        <v>1374.0</v>
      </c>
      <c r="E102" s="2">
        <v>2651.0</v>
      </c>
      <c r="F102" s="2">
        <v>883.6666667</v>
      </c>
      <c r="G102" s="3" t="s">
        <v>15</v>
      </c>
      <c r="H102" s="2">
        <v>34.0</v>
      </c>
      <c r="I102" s="2">
        <v>0.0</v>
      </c>
      <c r="J102" s="2">
        <v>0.0</v>
      </c>
      <c r="K102" s="2">
        <v>4.78</v>
      </c>
      <c r="L102" s="2">
        <v>32.51</v>
      </c>
      <c r="M102" s="2">
        <v>14.7</v>
      </c>
      <c r="N102" s="2">
        <v>4012.0</v>
      </c>
    </row>
    <row r="103">
      <c r="A103" s="1" t="s">
        <v>118</v>
      </c>
      <c r="B103" s="2">
        <v>3882.0</v>
      </c>
      <c r="C103" s="2">
        <v>51.0</v>
      </c>
      <c r="D103" s="2">
        <v>1709.0</v>
      </c>
      <c r="E103" s="2">
        <v>2122.0</v>
      </c>
      <c r="F103" s="2">
        <v>707.3333333</v>
      </c>
      <c r="G103" s="3" t="s">
        <v>15</v>
      </c>
      <c r="H103" s="2">
        <v>132.0</v>
      </c>
      <c r="I103" s="2">
        <v>0.0</v>
      </c>
      <c r="J103" s="2">
        <v>17.0</v>
      </c>
      <c r="K103" s="2">
        <v>1.31</v>
      </c>
      <c r="L103" s="2">
        <v>44.02</v>
      </c>
      <c r="M103" s="2">
        <v>2.98</v>
      </c>
      <c r="N103" s="2">
        <v>2905.0</v>
      </c>
    </row>
    <row r="104">
      <c r="A104" s="1" t="s">
        <v>119</v>
      </c>
      <c r="B104" s="2">
        <v>3664.0</v>
      </c>
      <c r="C104" s="2">
        <v>99.0</v>
      </c>
      <c r="D104" s="2">
        <v>1645.0</v>
      </c>
      <c r="E104" s="2">
        <v>1920.0</v>
      </c>
      <c r="F104" s="2">
        <v>640.0</v>
      </c>
      <c r="G104" s="3" t="s">
        <v>15</v>
      </c>
      <c r="H104" s="2">
        <v>24.0</v>
      </c>
      <c r="I104" s="2">
        <v>0.0</v>
      </c>
      <c r="J104" s="2">
        <v>6.0</v>
      </c>
      <c r="K104" s="2">
        <v>2.7</v>
      </c>
      <c r="L104" s="2">
        <v>44.9</v>
      </c>
      <c r="M104" s="2">
        <v>6.02</v>
      </c>
      <c r="N104" s="2">
        <v>2992.0</v>
      </c>
    </row>
    <row r="105">
      <c r="A105" s="1" t="s">
        <v>120</v>
      </c>
      <c r="B105" s="2">
        <v>3439.0</v>
      </c>
      <c r="C105" s="2">
        <v>108.0</v>
      </c>
      <c r="D105" s="2">
        <v>2492.0</v>
      </c>
      <c r="E105" s="2">
        <v>839.0</v>
      </c>
      <c r="F105" s="2">
        <v>279.6666667</v>
      </c>
      <c r="G105" s="3" t="s">
        <v>15</v>
      </c>
      <c r="H105" s="2">
        <v>0.0</v>
      </c>
      <c r="I105" s="2">
        <v>0.0</v>
      </c>
      <c r="J105" s="2">
        <v>0.0</v>
      </c>
      <c r="K105" s="2">
        <v>3.14</v>
      </c>
      <c r="L105" s="2">
        <v>72.46</v>
      </c>
      <c r="M105" s="2">
        <v>4.33</v>
      </c>
      <c r="N105" s="2">
        <v>3147.0</v>
      </c>
    </row>
    <row r="106">
      <c r="A106" s="1" t="s">
        <v>121</v>
      </c>
      <c r="B106" s="2">
        <v>3369.0</v>
      </c>
      <c r="C106" s="2">
        <v>15.0</v>
      </c>
      <c r="D106" s="2">
        <v>2547.0</v>
      </c>
      <c r="E106" s="2">
        <v>807.0</v>
      </c>
      <c r="F106" s="2">
        <v>269.0</v>
      </c>
      <c r="G106" s="3" t="s">
        <v>15</v>
      </c>
      <c r="H106" s="2">
        <v>67.0</v>
      </c>
      <c r="I106" s="2">
        <v>0.0</v>
      </c>
      <c r="J106" s="2">
        <v>19.0</v>
      </c>
      <c r="K106" s="2">
        <v>0.45</v>
      </c>
      <c r="L106" s="2">
        <v>75.6</v>
      </c>
      <c r="M106" s="2">
        <v>0.59</v>
      </c>
      <c r="N106" s="2">
        <v>2999.0</v>
      </c>
    </row>
    <row r="107">
      <c r="A107" s="1" t="s">
        <v>122</v>
      </c>
      <c r="B107" s="2">
        <v>3297.0</v>
      </c>
      <c r="C107" s="2">
        <v>58.0</v>
      </c>
      <c r="D107" s="2">
        <v>3111.0</v>
      </c>
      <c r="E107" s="2">
        <v>128.0</v>
      </c>
      <c r="F107" s="2">
        <v>42.66666667</v>
      </c>
      <c r="G107" s="3" t="s">
        <v>21</v>
      </c>
      <c r="H107" s="2">
        <v>6.0</v>
      </c>
      <c r="I107" s="2">
        <v>0.0</v>
      </c>
      <c r="J107" s="2">
        <v>2.0</v>
      </c>
      <c r="K107" s="2">
        <v>1.76</v>
      </c>
      <c r="L107" s="2">
        <v>94.36</v>
      </c>
      <c r="M107" s="2">
        <v>1.86</v>
      </c>
      <c r="N107" s="2">
        <v>3250.0</v>
      </c>
    </row>
    <row r="108">
      <c r="A108" s="1" t="s">
        <v>123</v>
      </c>
      <c r="B108" s="2">
        <v>3200.0</v>
      </c>
      <c r="C108" s="2">
        <v>54.0</v>
      </c>
      <c r="D108" s="2">
        <v>829.0</v>
      </c>
      <c r="E108" s="2">
        <v>2317.0</v>
      </c>
      <c r="F108" s="2">
        <v>772.3333333</v>
      </c>
      <c r="G108" s="3" t="s">
        <v>15</v>
      </c>
      <c r="H108" s="2">
        <v>162.0</v>
      </c>
      <c r="I108" s="2">
        <v>3.0</v>
      </c>
      <c r="J108" s="2">
        <v>73.0</v>
      </c>
      <c r="K108" s="2">
        <v>1.69</v>
      </c>
      <c r="L108" s="2">
        <v>25.91</v>
      </c>
      <c r="M108" s="2">
        <v>6.51</v>
      </c>
      <c r="N108" s="2">
        <v>2851.0</v>
      </c>
    </row>
    <row r="109">
      <c r="A109" s="1" t="s">
        <v>124</v>
      </c>
      <c r="B109" s="2">
        <v>3196.0</v>
      </c>
      <c r="C109" s="2">
        <v>93.0</v>
      </c>
      <c r="D109" s="2">
        <v>1543.0</v>
      </c>
      <c r="E109" s="2">
        <v>1560.0</v>
      </c>
      <c r="F109" s="2">
        <v>520.0</v>
      </c>
      <c r="G109" s="3" t="s">
        <v>15</v>
      </c>
      <c r="H109" s="2">
        <v>18.0</v>
      </c>
      <c r="I109" s="2">
        <v>0.0</v>
      </c>
      <c r="J109" s="2">
        <v>22.0</v>
      </c>
      <c r="K109" s="2">
        <v>2.91</v>
      </c>
      <c r="L109" s="2">
        <v>48.28</v>
      </c>
      <c r="M109" s="2">
        <v>6.03</v>
      </c>
      <c r="N109" s="2">
        <v>3130.0</v>
      </c>
    </row>
    <row r="110">
      <c r="A110" s="1" t="s">
        <v>125</v>
      </c>
      <c r="B110" s="2">
        <v>3071.0</v>
      </c>
      <c r="C110" s="2">
        <v>51.0</v>
      </c>
      <c r="D110" s="2">
        <v>842.0</v>
      </c>
      <c r="E110" s="2">
        <v>2178.0</v>
      </c>
      <c r="F110" s="2">
        <v>726.0</v>
      </c>
      <c r="G110" s="3" t="s">
        <v>15</v>
      </c>
      <c r="H110" s="2">
        <v>0.0</v>
      </c>
      <c r="I110" s="2">
        <v>0.0</v>
      </c>
      <c r="J110" s="2">
        <v>0.0</v>
      </c>
      <c r="K110" s="2">
        <v>1.66</v>
      </c>
      <c r="L110" s="2">
        <v>27.42</v>
      </c>
      <c r="M110" s="2">
        <v>6.06</v>
      </c>
      <c r="N110" s="2">
        <v>3071.0</v>
      </c>
    </row>
    <row r="111">
      <c r="A111" s="1" t="s">
        <v>126</v>
      </c>
      <c r="B111" s="2">
        <v>2893.0</v>
      </c>
      <c r="C111" s="2">
        <v>45.0</v>
      </c>
      <c r="D111" s="2">
        <v>809.0</v>
      </c>
      <c r="E111" s="2">
        <v>2039.0</v>
      </c>
      <c r="F111" s="2">
        <v>679.6666667</v>
      </c>
      <c r="G111" s="3" t="s">
        <v>15</v>
      </c>
      <c r="H111" s="2">
        <v>94.0</v>
      </c>
      <c r="I111" s="2">
        <v>2.0</v>
      </c>
      <c r="J111" s="2">
        <v>70.0</v>
      </c>
      <c r="K111" s="2">
        <v>1.56</v>
      </c>
      <c r="L111" s="2">
        <v>27.96</v>
      </c>
      <c r="M111" s="2">
        <v>5.56</v>
      </c>
      <c r="N111" s="2">
        <v>2188.0</v>
      </c>
    </row>
    <row r="112">
      <c r="A112" s="1" t="s">
        <v>127</v>
      </c>
      <c r="B112" s="2">
        <v>2827.0</v>
      </c>
      <c r="C112" s="2">
        <v>64.0</v>
      </c>
      <c r="D112" s="2">
        <v>577.0</v>
      </c>
      <c r="E112" s="2">
        <v>2186.0</v>
      </c>
      <c r="F112" s="2">
        <v>728.6666667</v>
      </c>
      <c r="G112" s="3" t="s">
        <v>15</v>
      </c>
      <c r="H112" s="2">
        <v>158.0</v>
      </c>
      <c r="I112" s="2">
        <v>4.0</v>
      </c>
      <c r="J112" s="2">
        <v>24.0</v>
      </c>
      <c r="K112" s="2">
        <v>2.26</v>
      </c>
      <c r="L112" s="2">
        <v>20.41</v>
      </c>
      <c r="M112" s="2">
        <v>11.09</v>
      </c>
      <c r="N112" s="2">
        <v>1980.0</v>
      </c>
    </row>
    <row r="113">
      <c r="A113" s="1" t="s">
        <v>128</v>
      </c>
      <c r="B113" s="2">
        <v>2805.0</v>
      </c>
      <c r="C113" s="2">
        <v>11.0</v>
      </c>
      <c r="D113" s="2">
        <v>2121.0</v>
      </c>
      <c r="E113" s="2">
        <v>673.0</v>
      </c>
      <c r="F113" s="2">
        <v>224.3333333</v>
      </c>
      <c r="G113" s="3" t="s">
        <v>15</v>
      </c>
      <c r="H113" s="2">
        <v>23.0</v>
      </c>
      <c r="I113" s="2">
        <v>0.0</v>
      </c>
      <c r="J113" s="2">
        <v>15.0</v>
      </c>
      <c r="K113" s="2">
        <v>0.39</v>
      </c>
      <c r="L113" s="2">
        <v>75.61</v>
      </c>
      <c r="M113" s="2">
        <v>0.52</v>
      </c>
      <c r="N113" s="2">
        <v>2730.0</v>
      </c>
    </row>
    <row r="114">
      <c r="A114" s="1" t="s">
        <v>129</v>
      </c>
      <c r="B114" s="2">
        <v>2704.0</v>
      </c>
      <c r="C114" s="2">
        <v>36.0</v>
      </c>
      <c r="D114" s="2">
        <v>542.0</v>
      </c>
      <c r="E114" s="2">
        <v>2126.0</v>
      </c>
      <c r="F114" s="2">
        <v>708.6666667</v>
      </c>
      <c r="G114" s="3" t="s">
        <v>15</v>
      </c>
      <c r="H114" s="2">
        <v>192.0</v>
      </c>
      <c r="I114" s="2">
        <v>2.0</v>
      </c>
      <c r="J114" s="2">
        <v>24.0</v>
      </c>
      <c r="K114" s="2">
        <v>1.33</v>
      </c>
      <c r="L114" s="2">
        <v>20.04</v>
      </c>
      <c r="M114" s="2">
        <v>6.64</v>
      </c>
      <c r="N114" s="2">
        <v>1713.0</v>
      </c>
    </row>
    <row r="115">
      <c r="A115" s="1" t="s">
        <v>130</v>
      </c>
      <c r="B115" s="2">
        <v>2532.0</v>
      </c>
      <c r="C115" s="2">
        <v>87.0</v>
      </c>
      <c r="D115" s="2">
        <v>2351.0</v>
      </c>
      <c r="E115" s="2">
        <v>94.0</v>
      </c>
      <c r="F115" s="2">
        <v>31.33333333</v>
      </c>
      <c r="G115" s="3" t="s">
        <v>21</v>
      </c>
      <c r="H115" s="2">
        <v>37.0</v>
      </c>
      <c r="I115" s="2">
        <v>0.0</v>
      </c>
      <c r="J115" s="2">
        <v>2.0</v>
      </c>
      <c r="K115" s="2">
        <v>3.44</v>
      </c>
      <c r="L115" s="2">
        <v>92.85</v>
      </c>
      <c r="M115" s="2">
        <v>3.7</v>
      </c>
      <c r="N115" s="2">
        <v>2446.0</v>
      </c>
    </row>
    <row r="116">
      <c r="A116" s="1" t="s">
        <v>131</v>
      </c>
      <c r="B116" s="2">
        <v>2513.0</v>
      </c>
      <c r="C116" s="2">
        <v>124.0</v>
      </c>
      <c r="D116" s="2">
        <v>1913.0</v>
      </c>
      <c r="E116" s="2">
        <v>476.0</v>
      </c>
      <c r="F116" s="2">
        <v>158.6666667</v>
      </c>
      <c r="G116" s="3" t="s">
        <v>15</v>
      </c>
      <c r="H116" s="2">
        <v>3.0</v>
      </c>
      <c r="I116" s="2">
        <v>1.0</v>
      </c>
      <c r="J116" s="2">
        <v>2.0</v>
      </c>
      <c r="K116" s="2">
        <v>4.93</v>
      </c>
      <c r="L116" s="2">
        <v>76.12</v>
      </c>
      <c r="M116" s="2">
        <v>6.48</v>
      </c>
      <c r="N116" s="2">
        <v>2475.0</v>
      </c>
    </row>
    <row r="117">
      <c r="A117" s="1" t="s">
        <v>132</v>
      </c>
      <c r="B117" s="2">
        <v>2328.0</v>
      </c>
      <c r="C117" s="2">
        <v>22.0</v>
      </c>
      <c r="D117" s="2">
        <v>1550.0</v>
      </c>
      <c r="E117" s="2">
        <v>756.0</v>
      </c>
      <c r="F117" s="2">
        <v>252.0</v>
      </c>
      <c r="G117" s="3" t="s">
        <v>15</v>
      </c>
      <c r="H117" s="2">
        <v>21.0</v>
      </c>
      <c r="I117" s="2">
        <v>0.0</v>
      </c>
      <c r="J117" s="2">
        <v>103.0</v>
      </c>
      <c r="K117" s="2">
        <v>0.95</v>
      </c>
      <c r="L117" s="2">
        <v>66.58</v>
      </c>
      <c r="M117" s="2">
        <v>1.42</v>
      </c>
      <c r="N117" s="2">
        <v>2071.0</v>
      </c>
    </row>
    <row r="118">
      <c r="A118" s="1" t="s">
        <v>133</v>
      </c>
      <c r="B118" s="2">
        <v>2316.0</v>
      </c>
      <c r="C118" s="2">
        <v>34.0</v>
      </c>
      <c r="D118" s="2">
        <v>1025.0</v>
      </c>
      <c r="E118" s="2">
        <v>1257.0</v>
      </c>
      <c r="F118" s="2">
        <v>419.0</v>
      </c>
      <c r="G118" s="3" t="s">
        <v>15</v>
      </c>
      <c r="H118" s="2">
        <v>109.0</v>
      </c>
      <c r="I118" s="2">
        <v>2.0</v>
      </c>
      <c r="J118" s="2">
        <v>39.0</v>
      </c>
      <c r="K118" s="2">
        <v>1.47</v>
      </c>
      <c r="L118" s="2">
        <v>44.26</v>
      </c>
      <c r="M118" s="2">
        <v>3.32</v>
      </c>
      <c r="N118" s="2">
        <v>1826.0</v>
      </c>
    </row>
    <row r="119">
      <c r="A119" s="1" t="s">
        <v>134</v>
      </c>
      <c r="B119" s="2">
        <v>2305.0</v>
      </c>
      <c r="C119" s="2">
        <v>46.0</v>
      </c>
      <c r="D119" s="2">
        <v>1175.0</v>
      </c>
      <c r="E119" s="2">
        <v>1084.0</v>
      </c>
      <c r="F119" s="2">
        <v>361.3333333</v>
      </c>
      <c r="G119" s="3" t="s">
        <v>15</v>
      </c>
      <c r="H119" s="2">
        <v>43.0</v>
      </c>
      <c r="I119" s="2">
        <v>1.0</v>
      </c>
      <c r="J119" s="2">
        <v>0.0</v>
      </c>
      <c r="K119" s="2">
        <v>2.0</v>
      </c>
      <c r="L119" s="2">
        <v>50.98</v>
      </c>
      <c r="M119" s="2">
        <v>3.91</v>
      </c>
      <c r="N119" s="2">
        <v>2211.0</v>
      </c>
    </row>
    <row r="120">
      <c r="A120" s="1" t="s">
        <v>135</v>
      </c>
      <c r="B120" s="2">
        <v>2181.0</v>
      </c>
      <c r="C120" s="2">
        <v>28.0</v>
      </c>
      <c r="D120" s="2">
        <v>1616.0</v>
      </c>
      <c r="E120" s="2">
        <v>537.0</v>
      </c>
      <c r="F120" s="2">
        <v>179.0</v>
      </c>
      <c r="G120" s="3" t="s">
        <v>15</v>
      </c>
      <c r="H120" s="2">
        <v>2.0</v>
      </c>
      <c r="I120" s="2">
        <v>0.0</v>
      </c>
      <c r="J120" s="2">
        <v>39.0</v>
      </c>
      <c r="K120" s="2">
        <v>1.28</v>
      </c>
      <c r="L120" s="2">
        <v>74.09</v>
      </c>
      <c r="M120" s="2">
        <v>1.73</v>
      </c>
      <c r="N120" s="2">
        <v>1980.0</v>
      </c>
    </row>
    <row r="121">
      <c r="A121" s="1" t="s">
        <v>136</v>
      </c>
      <c r="B121" s="2">
        <v>2087.0</v>
      </c>
      <c r="C121" s="2">
        <v>116.0</v>
      </c>
      <c r="D121" s="2">
        <v>1733.0</v>
      </c>
      <c r="E121" s="2">
        <v>238.0</v>
      </c>
      <c r="F121" s="2">
        <v>79.33333333</v>
      </c>
      <c r="G121" s="3" t="s">
        <v>21</v>
      </c>
      <c r="H121" s="2">
        <v>5.0</v>
      </c>
      <c r="I121" s="2">
        <v>0.0</v>
      </c>
      <c r="J121" s="2">
        <v>55.0</v>
      </c>
      <c r="K121" s="2">
        <v>5.56</v>
      </c>
      <c r="L121" s="2">
        <v>83.04</v>
      </c>
      <c r="M121" s="2">
        <v>6.69</v>
      </c>
      <c r="N121" s="2">
        <v>1953.0</v>
      </c>
    </row>
    <row r="122">
      <c r="A122" s="1" t="s">
        <v>137</v>
      </c>
      <c r="B122" s="2">
        <v>2034.0</v>
      </c>
      <c r="C122" s="2">
        <v>69.0</v>
      </c>
      <c r="D122" s="2">
        <v>1923.0</v>
      </c>
      <c r="E122" s="2">
        <v>42.0</v>
      </c>
      <c r="F122" s="2">
        <v>14.0</v>
      </c>
      <c r="G122" s="3" t="s">
        <v>21</v>
      </c>
      <c r="H122" s="2">
        <v>0.0</v>
      </c>
      <c r="I122" s="2">
        <v>0.0</v>
      </c>
      <c r="J122" s="2">
        <v>1.0</v>
      </c>
      <c r="K122" s="2">
        <v>3.39</v>
      </c>
      <c r="L122" s="2">
        <v>94.54</v>
      </c>
      <c r="M122" s="2">
        <v>3.59</v>
      </c>
      <c r="N122" s="2">
        <v>2021.0</v>
      </c>
    </row>
    <row r="123">
      <c r="A123" s="1" t="s">
        <v>138</v>
      </c>
      <c r="B123" s="2">
        <v>2019.0</v>
      </c>
      <c r="C123" s="2">
        <v>80.0</v>
      </c>
      <c r="D123" s="2">
        <v>1620.0</v>
      </c>
      <c r="E123" s="2">
        <v>319.0</v>
      </c>
      <c r="F123" s="2">
        <v>106.3333333</v>
      </c>
      <c r="G123" s="3" t="s">
        <v>15</v>
      </c>
      <c r="H123" s="2">
        <v>11.0</v>
      </c>
      <c r="I123" s="2">
        <v>0.0</v>
      </c>
      <c r="J123" s="2">
        <v>4.0</v>
      </c>
      <c r="K123" s="2">
        <v>3.96</v>
      </c>
      <c r="L123" s="2">
        <v>80.24</v>
      </c>
      <c r="M123" s="2">
        <v>4.94</v>
      </c>
      <c r="N123" s="2">
        <v>1947.0</v>
      </c>
    </row>
    <row r="124">
      <c r="A124" s="1" t="s">
        <v>139</v>
      </c>
      <c r="B124" s="2">
        <v>1954.0</v>
      </c>
      <c r="C124" s="2">
        <v>26.0</v>
      </c>
      <c r="D124" s="2">
        <v>803.0</v>
      </c>
      <c r="E124" s="2">
        <v>1125.0</v>
      </c>
      <c r="F124" s="2">
        <v>375.0</v>
      </c>
      <c r="G124" s="3" t="s">
        <v>15</v>
      </c>
      <c r="H124" s="2">
        <v>0.0</v>
      </c>
      <c r="I124" s="2">
        <v>0.0</v>
      </c>
      <c r="J124" s="2">
        <v>0.0</v>
      </c>
      <c r="K124" s="2">
        <v>1.33</v>
      </c>
      <c r="L124" s="2">
        <v>41.1</v>
      </c>
      <c r="M124" s="2">
        <v>3.24</v>
      </c>
      <c r="N124" s="2">
        <v>1949.0</v>
      </c>
    </row>
    <row r="125">
      <c r="A125" s="1" t="s">
        <v>140</v>
      </c>
      <c r="B125" s="2">
        <v>1879.0</v>
      </c>
      <c r="C125" s="2">
        <v>5.0</v>
      </c>
      <c r="D125" s="2">
        <v>975.0</v>
      </c>
      <c r="E125" s="2">
        <v>899.0</v>
      </c>
      <c r="F125" s="2">
        <v>299.6666667</v>
      </c>
      <c r="G125" s="3" t="s">
        <v>15</v>
      </c>
      <c r="H125" s="2">
        <v>58.0</v>
      </c>
      <c r="I125" s="2">
        <v>0.0</v>
      </c>
      <c r="J125" s="2">
        <v>57.0</v>
      </c>
      <c r="K125" s="2">
        <v>0.27</v>
      </c>
      <c r="L125" s="2">
        <v>51.89</v>
      </c>
      <c r="M125" s="2">
        <v>0.51</v>
      </c>
      <c r="N125" s="2">
        <v>1629.0</v>
      </c>
    </row>
    <row r="126">
      <c r="A126" s="1" t="s">
        <v>141</v>
      </c>
      <c r="B126" s="2">
        <v>1854.0</v>
      </c>
      <c r="C126" s="2">
        <v>10.0</v>
      </c>
      <c r="D126" s="2">
        <v>1823.0</v>
      </c>
      <c r="E126" s="2">
        <v>21.0</v>
      </c>
      <c r="F126" s="2">
        <v>7.0</v>
      </c>
      <c r="G126" s="3" t="s">
        <v>21</v>
      </c>
      <c r="H126" s="2">
        <v>7.0</v>
      </c>
      <c r="I126" s="2">
        <v>0.0</v>
      </c>
      <c r="J126" s="2">
        <v>0.0</v>
      </c>
      <c r="K126" s="2">
        <v>0.54</v>
      </c>
      <c r="L126" s="2">
        <v>98.33</v>
      </c>
      <c r="M126" s="2">
        <v>0.55</v>
      </c>
      <c r="N126" s="2">
        <v>1839.0</v>
      </c>
    </row>
    <row r="127">
      <c r="A127" s="1" t="s">
        <v>142</v>
      </c>
      <c r="B127" s="2">
        <v>1843.0</v>
      </c>
      <c r="C127" s="2">
        <v>8.0</v>
      </c>
      <c r="D127" s="2">
        <v>101.0</v>
      </c>
      <c r="E127" s="2">
        <v>1734.0</v>
      </c>
      <c r="F127" s="2">
        <v>578.0</v>
      </c>
      <c r="G127" s="3" t="s">
        <v>15</v>
      </c>
      <c r="H127" s="2">
        <v>68.0</v>
      </c>
      <c r="I127" s="2">
        <v>0.0</v>
      </c>
      <c r="J127" s="2">
        <v>26.0</v>
      </c>
      <c r="K127" s="2">
        <v>0.43</v>
      </c>
      <c r="L127" s="2">
        <v>5.48</v>
      </c>
      <c r="M127" s="2">
        <v>7.92</v>
      </c>
      <c r="N127" s="2">
        <v>1344.0</v>
      </c>
    </row>
    <row r="128">
      <c r="A128" s="1" t="s">
        <v>143</v>
      </c>
      <c r="B128" s="2">
        <v>1783.0</v>
      </c>
      <c r="C128" s="2">
        <v>66.0</v>
      </c>
      <c r="D128" s="2">
        <v>1317.0</v>
      </c>
      <c r="E128" s="2">
        <v>400.0</v>
      </c>
      <c r="F128" s="2">
        <v>133.3333333</v>
      </c>
      <c r="G128" s="3" t="s">
        <v>15</v>
      </c>
      <c r="H128" s="2">
        <v>0.0</v>
      </c>
      <c r="I128" s="2">
        <v>0.0</v>
      </c>
      <c r="J128" s="2">
        <v>4.0</v>
      </c>
      <c r="K128" s="2">
        <v>3.7</v>
      </c>
      <c r="L128" s="2">
        <v>73.86</v>
      </c>
      <c r="M128" s="2">
        <v>5.01</v>
      </c>
      <c r="N128" s="2">
        <v>1711.0</v>
      </c>
    </row>
    <row r="129">
      <c r="A129" s="1" t="s">
        <v>144</v>
      </c>
      <c r="B129" s="2">
        <v>1770.0</v>
      </c>
      <c r="C129" s="2">
        <v>35.0</v>
      </c>
      <c r="D129" s="2">
        <v>1036.0</v>
      </c>
      <c r="E129" s="2">
        <v>699.0</v>
      </c>
      <c r="F129" s="2">
        <v>233.0</v>
      </c>
      <c r="G129" s="3" t="s">
        <v>15</v>
      </c>
      <c r="H129" s="2">
        <v>0.0</v>
      </c>
      <c r="I129" s="2">
        <v>0.0</v>
      </c>
      <c r="J129" s="2">
        <v>0.0</v>
      </c>
      <c r="K129" s="2">
        <v>1.98</v>
      </c>
      <c r="L129" s="2">
        <v>58.53</v>
      </c>
      <c r="M129" s="2">
        <v>3.38</v>
      </c>
      <c r="N129" s="2">
        <v>1602.0</v>
      </c>
    </row>
    <row r="130">
      <c r="A130" s="1" t="s">
        <v>145</v>
      </c>
      <c r="B130" s="2">
        <v>1701.0</v>
      </c>
      <c r="C130" s="2">
        <v>11.0</v>
      </c>
      <c r="D130" s="2">
        <v>0.0</v>
      </c>
      <c r="E130" s="2">
        <v>1690.0</v>
      </c>
      <c r="F130" s="2">
        <v>563.3333333</v>
      </c>
      <c r="G130" s="3" t="s">
        <v>15</v>
      </c>
      <c r="H130" s="2">
        <v>32.0</v>
      </c>
      <c r="I130" s="2">
        <v>0.0</v>
      </c>
      <c r="J130" s="2">
        <v>0.0</v>
      </c>
      <c r="K130" s="2">
        <v>0.65</v>
      </c>
      <c r="L130" s="2">
        <v>0.0</v>
      </c>
      <c r="M130" s="1" t="s">
        <v>37</v>
      </c>
      <c r="N130" s="2">
        <v>1507.0</v>
      </c>
    </row>
    <row r="131">
      <c r="A131" s="1" t="s">
        <v>146</v>
      </c>
      <c r="B131" s="2">
        <v>1691.0</v>
      </c>
      <c r="C131" s="2">
        <v>483.0</v>
      </c>
      <c r="D131" s="2">
        <v>833.0</v>
      </c>
      <c r="E131" s="2">
        <v>375.0</v>
      </c>
      <c r="F131" s="2">
        <v>125.0</v>
      </c>
      <c r="G131" s="3" t="s">
        <v>21</v>
      </c>
      <c r="H131" s="2">
        <v>10.0</v>
      </c>
      <c r="I131" s="2">
        <v>4.0</v>
      </c>
      <c r="J131" s="2">
        <v>36.0</v>
      </c>
      <c r="K131" s="2">
        <v>28.56</v>
      </c>
      <c r="L131" s="2">
        <v>49.26</v>
      </c>
      <c r="M131" s="2">
        <v>57.98</v>
      </c>
      <c r="N131" s="2">
        <v>1619.0</v>
      </c>
    </row>
    <row r="132">
      <c r="A132" s="1" t="s">
        <v>147</v>
      </c>
      <c r="B132" s="2">
        <v>1557.0</v>
      </c>
      <c r="C132" s="2">
        <v>22.0</v>
      </c>
      <c r="D132" s="2">
        <v>1514.0</v>
      </c>
      <c r="E132" s="2">
        <v>21.0</v>
      </c>
      <c r="F132" s="2">
        <v>7.0</v>
      </c>
      <c r="G132" s="3" t="s">
        <v>21</v>
      </c>
      <c r="H132" s="2">
        <v>1.0</v>
      </c>
      <c r="I132" s="2">
        <v>0.0</v>
      </c>
      <c r="J132" s="2">
        <v>1.0</v>
      </c>
      <c r="K132" s="2">
        <v>1.41</v>
      </c>
      <c r="L132" s="2">
        <v>97.24</v>
      </c>
      <c r="M132" s="2">
        <v>1.45</v>
      </c>
      <c r="N132" s="2">
        <v>1555.0</v>
      </c>
    </row>
    <row r="133">
      <c r="A133" s="1" t="s">
        <v>148</v>
      </c>
      <c r="B133" s="2">
        <v>1483.0</v>
      </c>
      <c r="C133" s="2">
        <v>24.0</v>
      </c>
      <c r="D133" s="2">
        <v>925.0</v>
      </c>
      <c r="E133" s="2">
        <v>534.0</v>
      </c>
      <c r="F133" s="2">
        <v>178.0</v>
      </c>
      <c r="G133" s="3" t="s">
        <v>15</v>
      </c>
      <c r="H133" s="2">
        <v>44.0</v>
      </c>
      <c r="I133" s="2">
        <v>1.0</v>
      </c>
      <c r="J133" s="2">
        <v>35.0</v>
      </c>
      <c r="K133" s="2">
        <v>1.62</v>
      </c>
      <c r="L133" s="2">
        <v>62.37</v>
      </c>
      <c r="M133" s="2">
        <v>2.59</v>
      </c>
      <c r="N133" s="2">
        <v>1079.0</v>
      </c>
    </row>
    <row r="134">
      <c r="A134" s="1" t="s">
        <v>149</v>
      </c>
      <c r="B134" s="2">
        <v>1455.0</v>
      </c>
      <c r="C134" s="2">
        <v>50.0</v>
      </c>
      <c r="D134" s="2">
        <v>1157.0</v>
      </c>
      <c r="E134" s="2">
        <v>248.0</v>
      </c>
      <c r="F134" s="2">
        <v>82.66666667</v>
      </c>
      <c r="G134" s="3" t="s">
        <v>15</v>
      </c>
      <c r="H134" s="2">
        <v>3.0</v>
      </c>
      <c r="I134" s="2">
        <v>0.0</v>
      </c>
      <c r="J134" s="2">
        <v>15.0</v>
      </c>
      <c r="K134" s="2">
        <v>3.44</v>
      </c>
      <c r="L134" s="2">
        <v>79.52</v>
      </c>
      <c r="M134" s="2">
        <v>4.32</v>
      </c>
      <c r="N134" s="2">
        <v>1381.0</v>
      </c>
    </row>
    <row r="135">
      <c r="A135" s="1" t="s">
        <v>150</v>
      </c>
      <c r="B135" s="2">
        <v>1219.0</v>
      </c>
      <c r="C135" s="2">
        <v>31.0</v>
      </c>
      <c r="D135" s="2">
        <v>1045.0</v>
      </c>
      <c r="E135" s="2">
        <v>143.0</v>
      </c>
      <c r="F135" s="2">
        <v>47.66666667</v>
      </c>
      <c r="G135" s="3" t="s">
        <v>15</v>
      </c>
      <c r="H135" s="2">
        <v>0.0</v>
      </c>
      <c r="I135" s="2">
        <v>0.0</v>
      </c>
      <c r="J135" s="2">
        <v>0.0</v>
      </c>
      <c r="K135" s="2">
        <v>2.54</v>
      </c>
      <c r="L135" s="2">
        <v>85.73</v>
      </c>
      <c r="M135" s="2">
        <v>2.97</v>
      </c>
      <c r="N135" s="2">
        <v>1192.0</v>
      </c>
    </row>
    <row r="136">
      <c r="A136" s="1" t="s">
        <v>151</v>
      </c>
      <c r="B136" s="2">
        <v>1202.0</v>
      </c>
      <c r="C136" s="2">
        <v>35.0</v>
      </c>
      <c r="D136" s="2">
        <v>951.0</v>
      </c>
      <c r="E136" s="2">
        <v>216.0</v>
      </c>
      <c r="F136" s="2">
        <v>72.0</v>
      </c>
      <c r="G136" s="3" t="s">
        <v>15</v>
      </c>
      <c r="H136" s="2">
        <v>10.0</v>
      </c>
      <c r="I136" s="2">
        <v>1.0</v>
      </c>
      <c r="J136" s="2">
        <v>3.0</v>
      </c>
      <c r="K136" s="2">
        <v>2.91</v>
      </c>
      <c r="L136" s="2">
        <v>79.12</v>
      </c>
      <c r="M136" s="2">
        <v>3.68</v>
      </c>
      <c r="N136" s="2">
        <v>1064.0</v>
      </c>
    </row>
    <row r="137">
      <c r="A137" s="1" t="s">
        <v>152</v>
      </c>
      <c r="B137" s="2">
        <v>1176.0</v>
      </c>
      <c r="C137" s="2">
        <v>11.0</v>
      </c>
      <c r="D137" s="2">
        <v>1041.0</v>
      </c>
      <c r="E137" s="2">
        <v>124.0</v>
      </c>
      <c r="F137" s="2">
        <v>41.33333333</v>
      </c>
      <c r="G137" s="3" t="s">
        <v>15</v>
      </c>
      <c r="H137" s="2">
        <v>8.0</v>
      </c>
      <c r="I137" s="2">
        <v>0.0</v>
      </c>
      <c r="J137" s="2">
        <v>0.0</v>
      </c>
      <c r="K137" s="2">
        <v>0.94</v>
      </c>
      <c r="L137" s="2">
        <v>88.52</v>
      </c>
      <c r="M137" s="2">
        <v>1.06</v>
      </c>
      <c r="N137" s="2">
        <v>1223.0</v>
      </c>
    </row>
    <row r="138">
      <c r="A138" s="1" t="s">
        <v>153</v>
      </c>
      <c r="B138" s="2">
        <v>1167.0</v>
      </c>
      <c r="C138" s="2">
        <v>72.0</v>
      </c>
      <c r="D138" s="2">
        <v>646.0</v>
      </c>
      <c r="E138" s="2">
        <v>449.0</v>
      </c>
      <c r="F138" s="2">
        <v>149.6666667</v>
      </c>
      <c r="G138" s="3" t="s">
        <v>15</v>
      </c>
      <c r="H138" s="2">
        <v>5.0</v>
      </c>
      <c r="I138" s="2">
        <v>0.0</v>
      </c>
      <c r="J138" s="2">
        <v>5.0</v>
      </c>
      <c r="K138" s="2">
        <v>6.17</v>
      </c>
      <c r="L138" s="2">
        <v>55.36</v>
      </c>
      <c r="M138" s="2">
        <v>11.15</v>
      </c>
      <c r="N138" s="2">
        <v>1107.0</v>
      </c>
    </row>
    <row r="139">
      <c r="A139" s="1" t="s">
        <v>154</v>
      </c>
      <c r="B139" s="2">
        <v>1137.0</v>
      </c>
      <c r="C139" s="2">
        <v>16.0</v>
      </c>
      <c r="D139" s="2">
        <v>922.0</v>
      </c>
      <c r="E139" s="2">
        <v>199.0</v>
      </c>
      <c r="F139" s="2">
        <v>66.33333333</v>
      </c>
      <c r="G139" s="3" t="s">
        <v>15</v>
      </c>
      <c r="H139" s="2">
        <v>6.0</v>
      </c>
      <c r="I139" s="2">
        <v>0.0</v>
      </c>
      <c r="J139" s="2">
        <v>2.0</v>
      </c>
      <c r="K139" s="2">
        <v>1.41</v>
      </c>
      <c r="L139" s="2">
        <v>81.09</v>
      </c>
      <c r="M139" s="2">
        <v>1.74</v>
      </c>
      <c r="N139" s="2">
        <v>1039.0</v>
      </c>
    </row>
    <row r="140">
      <c r="A140" s="1" t="s">
        <v>155</v>
      </c>
      <c r="B140" s="2">
        <v>1132.0</v>
      </c>
      <c r="C140" s="2">
        <v>69.0</v>
      </c>
      <c r="D140" s="2">
        <v>1027.0</v>
      </c>
      <c r="E140" s="2">
        <v>36.0</v>
      </c>
      <c r="F140" s="2">
        <v>12.0</v>
      </c>
      <c r="G140" s="3" t="s">
        <v>21</v>
      </c>
      <c r="H140" s="2">
        <v>0.0</v>
      </c>
      <c r="I140" s="2">
        <v>0.0</v>
      </c>
      <c r="J140" s="2">
        <v>0.0</v>
      </c>
      <c r="K140" s="2">
        <v>6.1</v>
      </c>
      <c r="L140" s="2">
        <v>90.72</v>
      </c>
      <c r="M140" s="2">
        <v>6.72</v>
      </c>
      <c r="N140" s="2">
        <v>1105.0</v>
      </c>
    </row>
    <row r="141">
      <c r="A141" s="1" t="s">
        <v>156</v>
      </c>
      <c r="B141" s="2">
        <v>1128.0</v>
      </c>
      <c r="C141" s="2">
        <v>2.0</v>
      </c>
      <c r="D141" s="2">
        <v>986.0</v>
      </c>
      <c r="E141" s="2">
        <v>140.0</v>
      </c>
      <c r="F141" s="2">
        <v>46.66666667</v>
      </c>
      <c r="G141" s="3" t="s">
        <v>15</v>
      </c>
      <c r="H141" s="2">
        <v>13.0</v>
      </c>
      <c r="I141" s="2">
        <v>0.0</v>
      </c>
      <c r="J141" s="2">
        <v>4.0</v>
      </c>
      <c r="K141" s="2">
        <v>0.18</v>
      </c>
      <c r="L141" s="2">
        <v>87.41</v>
      </c>
      <c r="M141" s="2">
        <v>0.2</v>
      </c>
      <c r="N141" s="2">
        <v>1069.0</v>
      </c>
    </row>
    <row r="142">
      <c r="A142" s="1" t="s">
        <v>157</v>
      </c>
      <c r="B142" s="2">
        <v>1100.0</v>
      </c>
      <c r="C142" s="2">
        <v>53.0</v>
      </c>
      <c r="D142" s="2">
        <v>926.0</v>
      </c>
      <c r="E142" s="2">
        <v>121.0</v>
      </c>
      <c r="F142" s="2">
        <v>40.33333333</v>
      </c>
      <c r="G142" s="3" t="s">
        <v>21</v>
      </c>
      <c r="H142" s="2">
        <v>14.0</v>
      </c>
      <c r="I142" s="2">
        <v>0.0</v>
      </c>
      <c r="J142" s="2">
        <v>6.0</v>
      </c>
      <c r="K142" s="2">
        <v>4.82</v>
      </c>
      <c r="L142" s="2">
        <v>84.18</v>
      </c>
      <c r="M142" s="2">
        <v>5.72</v>
      </c>
      <c r="N142" s="2">
        <v>1065.0</v>
      </c>
    </row>
    <row r="143">
      <c r="A143" s="1" t="s">
        <v>158</v>
      </c>
      <c r="B143" s="2">
        <v>1060.0</v>
      </c>
      <c r="C143" s="2">
        <v>19.0</v>
      </c>
      <c r="D143" s="2">
        <v>852.0</v>
      </c>
      <c r="E143" s="2">
        <v>189.0</v>
      </c>
      <c r="F143" s="2">
        <v>63.0</v>
      </c>
      <c r="G143" s="3" t="s">
        <v>15</v>
      </c>
      <c r="H143" s="2">
        <v>3.0</v>
      </c>
      <c r="I143" s="2">
        <v>0.0</v>
      </c>
      <c r="J143" s="2">
        <v>0.0</v>
      </c>
      <c r="K143" s="2">
        <v>1.79</v>
      </c>
      <c r="L143" s="2">
        <v>80.38</v>
      </c>
      <c r="M143" s="2">
        <v>2.23</v>
      </c>
      <c r="N143" s="2">
        <v>1038.0</v>
      </c>
    </row>
    <row r="144">
      <c r="A144" s="1" t="s">
        <v>159</v>
      </c>
      <c r="B144" s="2">
        <v>950.0</v>
      </c>
      <c r="C144" s="2">
        <v>41.0</v>
      </c>
      <c r="D144" s="2">
        <v>242.0</v>
      </c>
      <c r="E144" s="2">
        <v>667.0</v>
      </c>
      <c r="F144" s="2">
        <v>222.3333333</v>
      </c>
      <c r="G144" s="3" t="s">
        <v>15</v>
      </c>
      <c r="H144" s="2">
        <v>18.0</v>
      </c>
      <c r="I144" s="2">
        <v>1.0</v>
      </c>
      <c r="J144" s="2">
        <v>0.0</v>
      </c>
      <c r="K144" s="2">
        <v>4.32</v>
      </c>
      <c r="L144" s="2">
        <v>25.47</v>
      </c>
      <c r="M144" s="2">
        <v>16.94</v>
      </c>
      <c r="N144" s="2">
        <v>749.0</v>
      </c>
    </row>
    <row r="145">
      <c r="A145" s="1" t="s">
        <v>160</v>
      </c>
      <c r="B145" s="2">
        <v>922.0</v>
      </c>
      <c r="C145" s="2">
        <v>75.0</v>
      </c>
      <c r="D145" s="2">
        <v>810.0</v>
      </c>
      <c r="E145" s="2">
        <v>37.0</v>
      </c>
      <c r="F145" s="2">
        <v>12.33333333</v>
      </c>
      <c r="G145" s="3" t="s">
        <v>21</v>
      </c>
      <c r="H145" s="2">
        <v>7.0</v>
      </c>
      <c r="I145" s="2">
        <v>0.0</v>
      </c>
      <c r="J145" s="2">
        <v>0.0</v>
      </c>
      <c r="K145" s="2">
        <v>8.13</v>
      </c>
      <c r="L145" s="2">
        <v>87.85</v>
      </c>
      <c r="M145" s="2">
        <v>9.26</v>
      </c>
      <c r="N145" s="2">
        <v>889.0</v>
      </c>
    </row>
    <row r="146">
      <c r="A146" s="1" t="s">
        <v>161</v>
      </c>
      <c r="B146" s="2">
        <v>907.0</v>
      </c>
      <c r="C146" s="2">
        <v>52.0</v>
      </c>
      <c r="D146" s="2">
        <v>803.0</v>
      </c>
      <c r="E146" s="2">
        <v>52.0</v>
      </c>
      <c r="F146" s="2">
        <v>17.33333333</v>
      </c>
      <c r="G146" s="3" t="s">
        <v>21</v>
      </c>
      <c r="H146" s="2">
        <v>10.0</v>
      </c>
      <c r="I146" s="2">
        <v>0.0</v>
      </c>
      <c r="J146" s="2">
        <v>0.0</v>
      </c>
      <c r="K146" s="2">
        <v>5.73</v>
      </c>
      <c r="L146" s="2">
        <v>88.53</v>
      </c>
      <c r="M146" s="2">
        <v>6.48</v>
      </c>
      <c r="N146" s="2">
        <v>884.0</v>
      </c>
    </row>
    <row r="147">
      <c r="A147" s="1" t="s">
        <v>162</v>
      </c>
      <c r="B147" s="2">
        <v>874.0</v>
      </c>
      <c r="C147" s="2">
        <v>18.0</v>
      </c>
      <c r="D147" s="2">
        <v>607.0</v>
      </c>
      <c r="E147" s="2">
        <v>249.0</v>
      </c>
      <c r="F147" s="2">
        <v>83.0</v>
      </c>
      <c r="G147" s="3" t="s">
        <v>15</v>
      </c>
      <c r="H147" s="2">
        <v>6.0</v>
      </c>
      <c r="I147" s="2">
        <v>0.0</v>
      </c>
      <c r="J147" s="2">
        <v>8.0</v>
      </c>
      <c r="K147" s="2">
        <v>2.06</v>
      </c>
      <c r="L147" s="2">
        <v>69.45</v>
      </c>
      <c r="M147" s="2">
        <v>2.97</v>
      </c>
      <c r="N147" s="2">
        <v>783.0</v>
      </c>
    </row>
    <row r="148">
      <c r="A148" s="1" t="s">
        <v>163</v>
      </c>
      <c r="B148" s="2">
        <v>865.0</v>
      </c>
      <c r="C148" s="2">
        <v>14.0</v>
      </c>
      <c r="D148" s="2">
        <v>734.0</v>
      </c>
      <c r="E148" s="2">
        <v>117.0</v>
      </c>
      <c r="F148" s="2">
        <v>39.0</v>
      </c>
      <c r="G148" s="3" t="s">
        <v>15</v>
      </c>
      <c r="H148" s="2">
        <v>2.0</v>
      </c>
      <c r="I148" s="2">
        <v>0.0</v>
      </c>
      <c r="J148" s="2">
        <v>38.0</v>
      </c>
      <c r="K148" s="2">
        <v>1.62</v>
      </c>
      <c r="L148" s="2">
        <v>84.86</v>
      </c>
      <c r="M148" s="2">
        <v>1.91</v>
      </c>
      <c r="N148" s="2">
        <v>746.0</v>
      </c>
    </row>
    <row r="149">
      <c r="A149" s="1" t="s">
        <v>164</v>
      </c>
      <c r="B149" s="2">
        <v>853.0</v>
      </c>
      <c r="C149" s="2">
        <v>10.0</v>
      </c>
      <c r="D149" s="2">
        <v>714.0</v>
      </c>
      <c r="E149" s="2">
        <v>129.0</v>
      </c>
      <c r="F149" s="2">
        <v>43.0</v>
      </c>
      <c r="G149" s="3" t="s">
        <v>15</v>
      </c>
      <c r="H149" s="2">
        <v>11.0</v>
      </c>
      <c r="I149" s="2">
        <v>0.0</v>
      </c>
      <c r="J149" s="2">
        <v>0.0</v>
      </c>
      <c r="K149" s="2">
        <v>1.17</v>
      </c>
      <c r="L149" s="2">
        <v>83.7</v>
      </c>
      <c r="M149" s="2">
        <v>1.4</v>
      </c>
      <c r="N149" s="2">
        <v>809.0</v>
      </c>
    </row>
    <row r="150">
      <c r="A150" s="1" t="s">
        <v>165</v>
      </c>
      <c r="B150" s="2">
        <v>739.0</v>
      </c>
      <c r="C150" s="2">
        <v>2.0</v>
      </c>
      <c r="D150" s="2">
        <v>63.0</v>
      </c>
      <c r="E150" s="2">
        <v>674.0</v>
      </c>
      <c r="F150" s="2">
        <v>224.6666667</v>
      </c>
      <c r="G150" s="3" t="s">
        <v>15</v>
      </c>
      <c r="H150" s="2">
        <v>53.0</v>
      </c>
      <c r="I150" s="2">
        <v>1.0</v>
      </c>
      <c r="J150" s="2">
        <v>11.0</v>
      </c>
      <c r="K150" s="2">
        <v>0.27</v>
      </c>
      <c r="L150" s="2">
        <v>8.53</v>
      </c>
      <c r="M150" s="2">
        <v>3.17</v>
      </c>
      <c r="N150" s="2">
        <v>522.0</v>
      </c>
    </row>
    <row r="151">
      <c r="A151" s="1" t="s">
        <v>166</v>
      </c>
      <c r="B151" s="2">
        <v>701.0</v>
      </c>
      <c r="C151" s="2">
        <v>9.0</v>
      </c>
      <c r="D151" s="2">
        <v>665.0</v>
      </c>
      <c r="E151" s="2">
        <v>27.0</v>
      </c>
      <c r="F151" s="2">
        <v>9.0</v>
      </c>
      <c r="G151" s="3" t="s">
        <v>15</v>
      </c>
      <c r="H151" s="2">
        <v>1.0</v>
      </c>
      <c r="I151" s="2">
        <v>0.0</v>
      </c>
      <c r="J151" s="2">
        <v>0.0</v>
      </c>
      <c r="K151" s="2">
        <v>1.28</v>
      </c>
      <c r="L151" s="2">
        <v>94.86</v>
      </c>
      <c r="M151" s="2">
        <v>1.35</v>
      </c>
      <c r="N151" s="2">
        <v>677.0</v>
      </c>
    </row>
    <row r="152">
      <c r="A152" s="1" t="s">
        <v>167</v>
      </c>
      <c r="B152" s="2">
        <v>699.0</v>
      </c>
      <c r="C152" s="2">
        <v>42.0</v>
      </c>
      <c r="D152" s="2">
        <v>657.0</v>
      </c>
      <c r="E152" s="2">
        <v>0.0</v>
      </c>
      <c r="F152" s="2">
        <v>0.0</v>
      </c>
      <c r="G152" s="3" t="s">
        <v>21</v>
      </c>
      <c r="H152" s="2">
        <v>0.0</v>
      </c>
      <c r="I152" s="2">
        <v>0.0</v>
      </c>
      <c r="J152" s="2">
        <v>0.0</v>
      </c>
      <c r="K152" s="2">
        <v>6.01</v>
      </c>
      <c r="L152" s="2">
        <v>93.99</v>
      </c>
      <c r="M152" s="2">
        <v>6.39</v>
      </c>
      <c r="N152" s="2">
        <v>699.0</v>
      </c>
    </row>
    <row r="153">
      <c r="A153" s="1" t="s">
        <v>168</v>
      </c>
      <c r="B153" s="2">
        <v>674.0</v>
      </c>
      <c r="C153" s="2">
        <v>40.0</v>
      </c>
      <c r="D153" s="2">
        <v>0.0</v>
      </c>
      <c r="E153" s="2">
        <v>634.0</v>
      </c>
      <c r="F153" s="2">
        <v>211.3333333</v>
      </c>
      <c r="G153" s="3" t="s">
        <v>15</v>
      </c>
      <c r="H153" s="2">
        <v>24.0</v>
      </c>
      <c r="I153" s="2">
        <v>2.0</v>
      </c>
      <c r="J153" s="2">
        <v>0.0</v>
      </c>
      <c r="K153" s="2">
        <v>5.93</v>
      </c>
      <c r="L153" s="2">
        <v>0.0</v>
      </c>
      <c r="M153" s="1" t="s">
        <v>37</v>
      </c>
      <c r="N153" s="2">
        <v>522.0</v>
      </c>
    </row>
    <row r="154">
      <c r="A154" s="1" t="s">
        <v>169</v>
      </c>
      <c r="B154" s="2">
        <v>509.0</v>
      </c>
      <c r="C154" s="2">
        <v>21.0</v>
      </c>
      <c r="D154" s="2">
        <v>183.0</v>
      </c>
      <c r="E154" s="2">
        <v>305.0</v>
      </c>
      <c r="F154" s="2">
        <v>101.6666667</v>
      </c>
      <c r="G154" s="3" t="s">
        <v>15</v>
      </c>
      <c r="H154" s="2">
        <v>0.0</v>
      </c>
      <c r="I154" s="2">
        <v>0.0</v>
      </c>
      <c r="J154" s="2">
        <v>0.0</v>
      </c>
      <c r="K154" s="2">
        <v>4.13</v>
      </c>
      <c r="L154" s="2">
        <v>35.95</v>
      </c>
      <c r="M154" s="2">
        <v>11.48</v>
      </c>
      <c r="N154" s="2">
        <v>509.0</v>
      </c>
    </row>
    <row r="155">
      <c r="A155" s="1" t="s">
        <v>170</v>
      </c>
      <c r="B155" s="2">
        <v>505.0</v>
      </c>
      <c r="C155" s="2">
        <v>12.0</v>
      </c>
      <c r="D155" s="2">
        <v>128.0</v>
      </c>
      <c r="E155" s="2">
        <v>365.0</v>
      </c>
      <c r="F155" s="2">
        <v>121.6666667</v>
      </c>
      <c r="G155" s="3" t="s">
        <v>15</v>
      </c>
      <c r="H155" s="2">
        <v>0.0</v>
      </c>
      <c r="I155" s="2">
        <v>0.0</v>
      </c>
      <c r="J155" s="2">
        <v>0.0</v>
      </c>
      <c r="K155" s="2">
        <v>2.38</v>
      </c>
      <c r="L155" s="2">
        <v>25.35</v>
      </c>
      <c r="M155" s="2">
        <v>9.38</v>
      </c>
      <c r="N155" s="2">
        <v>359.0</v>
      </c>
    </row>
    <row r="156">
      <c r="A156" s="1" t="s">
        <v>171</v>
      </c>
      <c r="B156" s="2">
        <v>462.0</v>
      </c>
      <c r="C156" s="2">
        <v>7.0</v>
      </c>
      <c r="D156" s="2">
        <v>440.0</v>
      </c>
      <c r="E156" s="2">
        <v>15.0</v>
      </c>
      <c r="F156" s="2">
        <v>5.0</v>
      </c>
      <c r="G156" s="3" t="s">
        <v>21</v>
      </c>
      <c r="H156" s="2">
        <v>4.0</v>
      </c>
      <c r="I156" s="2">
        <v>0.0</v>
      </c>
      <c r="J156" s="2">
        <v>0.0</v>
      </c>
      <c r="K156" s="2">
        <v>1.52</v>
      </c>
      <c r="L156" s="2">
        <v>95.24</v>
      </c>
      <c r="M156" s="2">
        <v>1.59</v>
      </c>
      <c r="N156" s="2">
        <v>451.0</v>
      </c>
    </row>
    <row r="157">
      <c r="A157" s="1" t="s">
        <v>172</v>
      </c>
      <c r="B157" s="2">
        <v>431.0</v>
      </c>
      <c r="C157" s="2">
        <v>0.0</v>
      </c>
      <c r="D157" s="2">
        <v>365.0</v>
      </c>
      <c r="E157" s="2">
        <v>66.0</v>
      </c>
      <c r="F157" s="2">
        <v>22.0</v>
      </c>
      <c r="G157" s="3" t="s">
        <v>15</v>
      </c>
      <c r="H157" s="2">
        <v>11.0</v>
      </c>
      <c r="I157" s="2">
        <v>0.0</v>
      </c>
      <c r="J157" s="2">
        <v>0.0</v>
      </c>
      <c r="K157" s="2">
        <v>0.0</v>
      </c>
      <c r="L157" s="2">
        <v>84.69</v>
      </c>
      <c r="M157" s="2">
        <v>0.0</v>
      </c>
      <c r="N157" s="2">
        <v>384.0</v>
      </c>
    </row>
    <row r="158">
      <c r="A158" s="1" t="s">
        <v>173</v>
      </c>
      <c r="B158" s="2">
        <v>389.0</v>
      </c>
      <c r="C158" s="2">
        <v>20.0</v>
      </c>
      <c r="D158" s="2">
        <v>181.0</v>
      </c>
      <c r="E158" s="2">
        <v>188.0</v>
      </c>
      <c r="F158" s="2">
        <v>62.66666667</v>
      </c>
      <c r="G158" s="3" t="s">
        <v>15</v>
      </c>
      <c r="H158" s="2">
        <v>19.0</v>
      </c>
      <c r="I158" s="2">
        <v>0.0</v>
      </c>
      <c r="J158" s="2">
        <v>0.0</v>
      </c>
      <c r="K158" s="2">
        <v>5.14</v>
      </c>
      <c r="L158" s="2">
        <v>46.53</v>
      </c>
      <c r="M158" s="2">
        <v>11.05</v>
      </c>
      <c r="N158" s="2">
        <v>337.0</v>
      </c>
    </row>
    <row r="159">
      <c r="A159" s="1" t="s">
        <v>174</v>
      </c>
      <c r="B159" s="2">
        <v>382.0</v>
      </c>
      <c r="C159" s="2">
        <v>11.0</v>
      </c>
      <c r="D159" s="2">
        <v>91.0</v>
      </c>
      <c r="E159" s="2">
        <v>280.0</v>
      </c>
      <c r="F159" s="2">
        <v>93.33333333</v>
      </c>
      <c r="G159" s="3" t="s">
        <v>15</v>
      </c>
      <c r="H159" s="2">
        <v>40.0</v>
      </c>
      <c r="I159" s="2">
        <v>0.0</v>
      </c>
      <c r="J159" s="2">
        <v>0.0</v>
      </c>
      <c r="K159" s="2">
        <v>2.88</v>
      </c>
      <c r="L159" s="2">
        <v>23.82</v>
      </c>
      <c r="M159" s="2">
        <v>12.09</v>
      </c>
      <c r="N159" s="2">
        <v>174.0</v>
      </c>
    </row>
    <row r="160">
      <c r="A160" s="1" t="s">
        <v>175</v>
      </c>
      <c r="B160" s="2">
        <v>378.0</v>
      </c>
      <c r="C160" s="2">
        <v>1.0</v>
      </c>
      <c r="D160" s="2">
        <v>301.0</v>
      </c>
      <c r="E160" s="2">
        <v>76.0</v>
      </c>
      <c r="F160" s="2">
        <v>25.33333333</v>
      </c>
      <c r="G160" s="3" t="s">
        <v>15</v>
      </c>
      <c r="H160" s="2">
        <v>17.0</v>
      </c>
      <c r="I160" s="2">
        <v>0.0</v>
      </c>
      <c r="J160" s="2">
        <v>22.0</v>
      </c>
      <c r="K160" s="2">
        <v>0.26</v>
      </c>
      <c r="L160" s="2">
        <v>79.63</v>
      </c>
      <c r="M160" s="2">
        <v>0.33</v>
      </c>
      <c r="N160" s="2">
        <v>322.0</v>
      </c>
    </row>
    <row r="161">
      <c r="A161" s="1" t="s">
        <v>176</v>
      </c>
      <c r="B161" s="2">
        <v>354.0</v>
      </c>
      <c r="C161" s="2">
        <v>7.0</v>
      </c>
      <c r="D161" s="2">
        <v>328.0</v>
      </c>
      <c r="E161" s="2">
        <v>19.0</v>
      </c>
      <c r="F161" s="2">
        <v>6.333333333</v>
      </c>
      <c r="G161" s="3" t="s">
        <v>21</v>
      </c>
      <c r="H161" s="2">
        <v>0.0</v>
      </c>
      <c r="I161" s="2">
        <v>0.0</v>
      </c>
      <c r="J161" s="2">
        <v>0.0</v>
      </c>
      <c r="K161" s="2">
        <v>1.98</v>
      </c>
      <c r="L161" s="2">
        <v>92.66</v>
      </c>
      <c r="M161" s="2">
        <v>2.13</v>
      </c>
      <c r="N161" s="2">
        <v>334.0</v>
      </c>
    </row>
    <row r="162">
      <c r="A162" s="1" t="s">
        <v>177</v>
      </c>
      <c r="B162" s="2">
        <v>350.0</v>
      </c>
      <c r="C162" s="2">
        <v>6.0</v>
      </c>
      <c r="D162" s="2">
        <v>292.0</v>
      </c>
      <c r="E162" s="2">
        <v>52.0</v>
      </c>
      <c r="F162" s="2">
        <v>17.33333333</v>
      </c>
      <c r="G162" s="3" t="s">
        <v>15</v>
      </c>
      <c r="H162" s="2">
        <v>0.0</v>
      </c>
      <c r="I162" s="2">
        <v>0.0</v>
      </c>
      <c r="J162" s="2">
        <v>2.0</v>
      </c>
      <c r="K162" s="2">
        <v>1.71</v>
      </c>
      <c r="L162" s="2">
        <v>83.43</v>
      </c>
      <c r="M162" s="2">
        <v>2.05</v>
      </c>
      <c r="N162" s="2">
        <v>341.0</v>
      </c>
    </row>
    <row r="163">
      <c r="A163" s="1" t="s">
        <v>178</v>
      </c>
      <c r="B163" s="2">
        <v>344.0</v>
      </c>
      <c r="C163" s="2">
        <v>10.0</v>
      </c>
      <c r="D163" s="2">
        <v>332.0</v>
      </c>
      <c r="E163" s="2">
        <v>2.0</v>
      </c>
      <c r="F163" s="2">
        <v>0.666666667</v>
      </c>
      <c r="G163" s="3" t="s">
        <v>21</v>
      </c>
      <c r="H163" s="2">
        <v>0.0</v>
      </c>
      <c r="I163" s="2">
        <v>0.0</v>
      </c>
      <c r="J163" s="2">
        <v>0.0</v>
      </c>
      <c r="K163" s="2">
        <v>2.91</v>
      </c>
      <c r="L163" s="2">
        <v>96.51</v>
      </c>
      <c r="M163" s="2">
        <v>3.01</v>
      </c>
      <c r="N163" s="2">
        <v>343.0</v>
      </c>
    </row>
    <row r="164">
      <c r="A164" s="1" t="s">
        <v>179</v>
      </c>
      <c r="B164" s="2">
        <v>326.0</v>
      </c>
      <c r="C164" s="2">
        <v>8.0</v>
      </c>
      <c r="D164" s="2">
        <v>66.0</v>
      </c>
      <c r="E164" s="2">
        <v>252.0</v>
      </c>
      <c r="F164" s="2">
        <v>84.0</v>
      </c>
      <c r="G164" s="3" t="s">
        <v>15</v>
      </c>
      <c r="H164" s="2">
        <v>49.0</v>
      </c>
      <c r="I164" s="2">
        <v>2.0</v>
      </c>
      <c r="J164" s="2">
        <v>6.0</v>
      </c>
      <c r="K164" s="2">
        <v>2.45</v>
      </c>
      <c r="L164" s="2">
        <v>20.25</v>
      </c>
      <c r="M164" s="2">
        <v>12.12</v>
      </c>
      <c r="N164" s="2">
        <v>112.0</v>
      </c>
    </row>
    <row r="165">
      <c r="A165" s="1" t="s">
        <v>180</v>
      </c>
      <c r="B165" s="2">
        <v>289.0</v>
      </c>
      <c r="C165" s="2">
        <v>0.0</v>
      </c>
      <c r="D165" s="2">
        <v>222.0</v>
      </c>
      <c r="E165" s="2">
        <v>67.0</v>
      </c>
      <c r="F165" s="2">
        <v>22.33333333</v>
      </c>
      <c r="G165" s="3" t="s">
        <v>15</v>
      </c>
      <c r="H165" s="2">
        <v>1.0</v>
      </c>
      <c r="I165" s="2">
        <v>0.0</v>
      </c>
      <c r="J165" s="2">
        <v>4.0</v>
      </c>
      <c r="K165" s="2">
        <v>0.0</v>
      </c>
      <c r="L165" s="2">
        <v>76.82</v>
      </c>
      <c r="M165" s="2">
        <v>0.0</v>
      </c>
      <c r="N165" s="2">
        <v>287.0</v>
      </c>
    </row>
    <row r="166">
      <c r="A166" s="1" t="s">
        <v>181</v>
      </c>
      <c r="B166" s="2">
        <v>265.0</v>
      </c>
      <c r="C166" s="2">
        <v>0.0</v>
      </c>
      <c r="D166" s="2">
        <v>191.0</v>
      </c>
      <c r="E166" s="2">
        <v>74.0</v>
      </c>
      <c r="F166" s="2">
        <v>24.66666667</v>
      </c>
      <c r="G166" s="3" t="s">
        <v>15</v>
      </c>
      <c r="H166" s="2">
        <v>2.0</v>
      </c>
      <c r="I166" s="2">
        <v>0.0</v>
      </c>
      <c r="J166" s="2">
        <v>2.0</v>
      </c>
      <c r="K166" s="2">
        <v>0.0</v>
      </c>
      <c r="L166" s="2">
        <v>72.08</v>
      </c>
      <c r="M166" s="2">
        <v>0.0</v>
      </c>
      <c r="N166" s="2">
        <v>251.0</v>
      </c>
    </row>
    <row r="167">
      <c r="A167" s="1" t="s">
        <v>182</v>
      </c>
      <c r="B167" s="2">
        <v>226.0</v>
      </c>
      <c r="C167" s="2">
        <v>0.0</v>
      </c>
      <c r="D167" s="2">
        <v>147.0</v>
      </c>
      <c r="E167" s="2">
        <v>79.0</v>
      </c>
      <c r="F167" s="2">
        <v>26.33333333</v>
      </c>
      <c r="G167" s="3" t="s">
        <v>15</v>
      </c>
      <c r="H167" s="2">
        <v>1.0</v>
      </c>
      <c r="I167" s="2">
        <v>0.0</v>
      </c>
      <c r="J167" s="2">
        <v>4.0</v>
      </c>
      <c r="K167" s="2">
        <v>0.0</v>
      </c>
      <c r="L167" s="2">
        <v>65.04</v>
      </c>
      <c r="M167" s="2">
        <v>0.0</v>
      </c>
      <c r="N167" s="2">
        <v>171.0</v>
      </c>
    </row>
    <row r="168">
      <c r="A168" s="1" t="s">
        <v>183</v>
      </c>
      <c r="B168" s="2">
        <v>148.0</v>
      </c>
      <c r="C168" s="2">
        <v>8.0</v>
      </c>
      <c r="D168" s="2">
        <v>128.0</v>
      </c>
      <c r="E168" s="2">
        <v>12.0</v>
      </c>
      <c r="F168" s="2">
        <v>4.0</v>
      </c>
      <c r="G168" s="3" t="s">
        <v>21</v>
      </c>
      <c r="H168" s="2">
        <v>1.0</v>
      </c>
      <c r="I168" s="2">
        <v>0.0</v>
      </c>
      <c r="J168" s="2">
        <v>0.0</v>
      </c>
      <c r="K168" s="2">
        <v>5.41</v>
      </c>
      <c r="L168" s="2">
        <v>86.49</v>
      </c>
      <c r="M168" s="2">
        <v>6.25</v>
      </c>
      <c r="N168" s="2">
        <v>137.0</v>
      </c>
    </row>
    <row r="169">
      <c r="A169" s="1" t="s">
        <v>184</v>
      </c>
      <c r="B169" s="2">
        <v>141.0</v>
      </c>
      <c r="C169" s="2">
        <v>3.0</v>
      </c>
      <c r="D169" s="2">
        <v>138.0</v>
      </c>
      <c r="E169" s="2">
        <v>0.0</v>
      </c>
      <c r="F169" s="2">
        <v>0.0</v>
      </c>
      <c r="G169" s="3" t="s">
        <v>21</v>
      </c>
      <c r="H169" s="2">
        <v>0.0</v>
      </c>
      <c r="I169" s="2">
        <v>0.0</v>
      </c>
      <c r="J169" s="2">
        <v>0.0</v>
      </c>
      <c r="K169" s="2">
        <v>2.13</v>
      </c>
      <c r="L169" s="2">
        <v>97.87</v>
      </c>
      <c r="M169" s="2">
        <v>2.17</v>
      </c>
      <c r="N169" s="2">
        <v>141.0</v>
      </c>
    </row>
    <row r="170">
      <c r="A170" s="1" t="s">
        <v>185</v>
      </c>
      <c r="B170" s="2">
        <v>116.0</v>
      </c>
      <c r="C170" s="2">
        <v>4.0</v>
      </c>
      <c r="D170" s="2">
        <v>104.0</v>
      </c>
      <c r="E170" s="2">
        <v>8.0</v>
      </c>
      <c r="F170" s="2">
        <v>2.666666667</v>
      </c>
      <c r="G170" s="3" t="s">
        <v>21</v>
      </c>
      <c r="H170" s="2">
        <v>0.0</v>
      </c>
      <c r="I170" s="2">
        <v>0.0</v>
      </c>
      <c r="J170" s="2">
        <v>0.0</v>
      </c>
      <c r="K170" s="2">
        <v>3.45</v>
      </c>
      <c r="L170" s="2">
        <v>89.66</v>
      </c>
      <c r="M170" s="2">
        <v>3.85</v>
      </c>
      <c r="N170" s="2">
        <v>109.0</v>
      </c>
    </row>
    <row r="171">
      <c r="A171" s="1" t="s">
        <v>186</v>
      </c>
      <c r="B171" s="2">
        <v>114.0</v>
      </c>
      <c r="C171" s="2">
        <v>0.0</v>
      </c>
      <c r="D171" s="2">
        <v>39.0</v>
      </c>
      <c r="E171" s="2">
        <v>75.0</v>
      </c>
      <c r="F171" s="2">
        <v>25.0</v>
      </c>
      <c r="G171" s="3" t="s">
        <v>15</v>
      </c>
      <c r="H171" s="2">
        <v>0.0</v>
      </c>
      <c r="I171" s="2">
        <v>0.0</v>
      </c>
      <c r="J171" s="2">
        <v>0.0</v>
      </c>
      <c r="K171" s="2">
        <v>0.0</v>
      </c>
      <c r="L171" s="2">
        <v>34.21</v>
      </c>
      <c r="M171" s="2">
        <v>0.0</v>
      </c>
      <c r="N171" s="2">
        <v>108.0</v>
      </c>
    </row>
    <row r="172">
      <c r="A172" s="1" t="s">
        <v>187</v>
      </c>
      <c r="B172" s="2">
        <v>110.0</v>
      </c>
      <c r="C172" s="2">
        <v>7.0</v>
      </c>
      <c r="D172" s="2">
        <v>94.0</v>
      </c>
      <c r="E172" s="2">
        <v>9.0</v>
      </c>
      <c r="F172" s="2">
        <v>3.0</v>
      </c>
      <c r="G172" s="3" t="s">
        <v>21</v>
      </c>
      <c r="H172" s="2">
        <v>0.0</v>
      </c>
      <c r="I172" s="2">
        <v>0.0</v>
      </c>
      <c r="J172" s="2">
        <v>0.0</v>
      </c>
      <c r="K172" s="2">
        <v>6.36</v>
      </c>
      <c r="L172" s="2">
        <v>85.45</v>
      </c>
      <c r="M172" s="2">
        <v>7.45</v>
      </c>
      <c r="N172" s="2">
        <v>106.0</v>
      </c>
    </row>
    <row r="173">
      <c r="A173" s="1" t="s">
        <v>188</v>
      </c>
      <c r="B173" s="2">
        <v>99.0</v>
      </c>
      <c r="C173" s="2">
        <v>0.0</v>
      </c>
      <c r="D173" s="2">
        <v>86.0</v>
      </c>
      <c r="E173" s="2">
        <v>13.0</v>
      </c>
      <c r="F173" s="2">
        <v>4.333333333</v>
      </c>
      <c r="G173" s="3" t="s">
        <v>15</v>
      </c>
      <c r="H173" s="2">
        <v>4.0</v>
      </c>
      <c r="I173" s="2">
        <v>0.0</v>
      </c>
      <c r="J173" s="2">
        <v>1.0</v>
      </c>
      <c r="K173" s="2">
        <v>0.0</v>
      </c>
      <c r="L173" s="2">
        <v>86.87</v>
      </c>
      <c r="M173" s="2">
        <v>0.0</v>
      </c>
      <c r="N173" s="2">
        <v>90.0</v>
      </c>
    </row>
    <row r="174">
      <c r="A174" s="1" t="s">
        <v>189</v>
      </c>
      <c r="B174" s="2">
        <v>86.0</v>
      </c>
      <c r="C174" s="2">
        <v>3.0</v>
      </c>
      <c r="D174" s="2">
        <v>65.0</v>
      </c>
      <c r="E174" s="2">
        <v>18.0</v>
      </c>
      <c r="F174" s="2">
        <v>6.0</v>
      </c>
      <c r="G174" s="3" t="s">
        <v>15</v>
      </c>
      <c r="H174" s="2">
        <v>4.0</v>
      </c>
      <c r="I174" s="2">
        <v>0.0</v>
      </c>
      <c r="J174" s="2">
        <v>5.0</v>
      </c>
      <c r="K174" s="2">
        <v>3.49</v>
      </c>
      <c r="L174" s="2">
        <v>75.58</v>
      </c>
      <c r="M174" s="2">
        <v>4.62</v>
      </c>
      <c r="N174" s="2">
        <v>76.0</v>
      </c>
    </row>
    <row r="175">
      <c r="A175" s="1" t="s">
        <v>190</v>
      </c>
      <c r="B175" s="2">
        <v>86.0</v>
      </c>
      <c r="C175" s="2">
        <v>1.0</v>
      </c>
      <c r="D175" s="2">
        <v>81.0</v>
      </c>
      <c r="E175" s="2">
        <v>4.0</v>
      </c>
      <c r="F175" s="2">
        <v>1.333333333</v>
      </c>
      <c r="G175" s="3" t="s">
        <v>15</v>
      </c>
      <c r="H175" s="2">
        <v>0.0</v>
      </c>
      <c r="I175" s="2">
        <v>0.0</v>
      </c>
      <c r="J175" s="2">
        <v>0.0</v>
      </c>
      <c r="K175" s="2">
        <v>1.16</v>
      </c>
      <c r="L175" s="2">
        <v>94.19</v>
      </c>
      <c r="M175" s="2">
        <v>1.23</v>
      </c>
      <c r="N175" s="2">
        <v>86.0</v>
      </c>
    </row>
    <row r="176">
      <c r="A176" s="1" t="s">
        <v>191</v>
      </c>
      <c r="B176" s="2">
        <v>62.0</v>
      </c>
      <c r="C176" s="2">
        <v>0.0</v>
      </c>
      <c r="D176" s="2">
        <v>11.0</v>
      </c>
      <c r="E176" s="2">
        <v>51.0</v>
      </c>
      <c r="F176" s="2">
        <v>17.0</v>
      </c>
      <c r="G176" s="3" t="s">
        <v>15</v>
      </c>
      <c r="H176" s="2">
        <v>0.0</v>
      </c>
      <c r="I176" s="2">
        <v>0.0</v>
      </c>
      <c r="J176" s="2">
        <v>0.0</v>
      </c>
      <c r="K176" s="2">
        <v>0.0</v>
      </c>
      <c r="L176" s="2">
        <v>17.74</v>
      </c>
      <c r="M176" s="2">
        <v>0.0</v>
      </c>
      <c r="N176" s="2">
        <v>19.0</v>
      </c>
    </row>
    <row r="177">
      <c r="A177" s="1" t="s">
        <v>192</v>
      </c>
      <c r="B177" s="2">
        <v>52.0</v>
      </c>
      <c r="C177" s="2">
        <v>0.0</v>
      </c>
      <c r="D177" s="2">
        <v>39.0</v>
      </c>
      <c r="E177" s="2">
        <v>13.0</v>
      </c>
      <c r="F177" s="2">
        <v>4.333333333</v>
      </c>
      <c r="G177" s="3" t="s">
        <v>15</v>
      </c>
      <c r="H177" s="2">
        <v>0.0</v>
      </c>
      <c r="I177" s="2">
        <v>0.0</v>
      </c>
      <c r="J177" s="2">
        <v>0.0</v>
      </c>
      <c r="K177" s="2">
        <v>0.0</v>
      </c>
      <c r="L177" s="2">
        <v>75.0</v>
      </c>
      <c r="M177" s="2">
        <v>0.0</v>
      </c>
      <c r="N177" s="2">
        <v>50.0</v>
      </c>
    </row>
    <row r="178">
      <c r="A178" s="1" t="s">
        <v>193</v>
      </c>
      <c r="B178" s="2">
        <v>48.0</v>
      </c>
      <c r="C178" s="2">
        <v>2.0</v>
      </c>
      <c r="D178" s="2">
        <v>26.0</v>
      </c>
      <c r="E178" s="2">
        <v>20.0</v>
      </c>
      <c r="F178" s="2">
        <v>6.666666667</v>
      </c>
      <c r="G178" s="3" t="s">
        <v>15</v>
      </c>
      <c r="H178" s="2">
        <v>0.0</v>
      </c>
      <c r="I178" s="2">
        <v>0.0</v>
      </c>
      <c r="J178" s="2">
        <v>0.0</v>
      </c>
      <c r="K178" s="2">
        <v>4.17</v>
      </c>
      <c r="L178" s="2">
        <v>54.17</v>
      </c>
      <c r="M178" s="2">
        <v>7.69</v>
      </c>
      <c r="N178" s="2">
        <v>40.0</v>
      </c>
    </row>
    <row r="179">
      <c r="A179" s="1" t="s">
        <v>194</v>
      </c>
      <c r="B179" s="2">
        <v>27.0</v>
      </c>
      <c r="C179" s="2">
        <v>0.0</v>
      </c>
      <c r="D179" s="2">
        <v>18.0</v>
      </c>
      <c r="E179" s="2">
        <v>9.0</v>
      </c>
      <c r="F179" s="2">
        <v>3.0</v>
      </c>
      <c r="G179" s="3" t="s">
        <v>15</v>
      </c>
      <c r="H179" s="2">
        <v>0.0</v>
      </c>
      <c r="I179" s="2">
        <v>0.0</v>
      </c>
      <c r="J179" s="2">
        <v>0.0</v>
      </c>
      <c r="K179" s="2">
        <v>0.0</v>
      </c>
      <c r="L179" s="2">
        <v>66.67</v>
      </c>
      <c r="M179" s="2">
        <v>0.0</v>
      </c>
      <c r="N179" s="2">
        <v>27.0</v>
      </c>
    </row>
    <row r="180">
      <c r="A180" s="1" t="s">
        <v>195</v>
      </c>
      <c r="B180" s="2">
        <v>24.0</v>
      </c>
      <c r="C180" s="2">
        <v>0.0</v>
      </c>
      <c r="D180" s="2">
        <v>22.0</v>
      </c>
      <c r="E180" s="2">
        <v>2.0</v>
      </c>
      <c r="F180" s="2">
        <v>0.666666667</v>
      </c>
      <c r="G180" s="3" t="s">
        <v>15</v>
      </c>
      <c r="H180" s="2">
        <v>0.0</v>
      </c>
      <c r="I180" s="2">
        <v>0.0</v>
      </c>
      <c r="J180" s="2">
        <v>0.0</v>
      </c>
      <c r="K180" s="2">
        <v>0.0</v>
      </c>
      <c r="L180" s="2">
        <v>91.67</v>
      </c>
      <c r="M180" s="2">
        <v>0.0</v>
      </c>
      <c r="N180" s="2">
        <v>23.0</v>
      </c>
    </row>
    <row r="181">
      <c r="A181" s="1" t="s">
        <v>196</v>
      </c>
      <c r="B181" s="2">
        <v>24.0</v>
      </c>
      <c r="C181" s="2">
        <v>0.0</v>
      </c>
      <c r="D181" s="2">
        <v>0.0</v>
      </c>
      <c r="E181" s="2">
        <v>24.0</v>
      </c>
      <c r="F181" s="2">
        <v>8.0</v>
      </c>
      <c r="G181" s="3" t="s">
        <v>15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24.0</v>
      </c>
    </row>
    <row r="182">
      <c r="A182" s="1" t="s">
        <v>197</v>
      </c>
      <c r="B182" s="2">
        <v>23.0</v>
      </c>
      <c r="C182" s="2">
        <v>0.0</v>
      </c>
      <c r="D182" s="2">
        <v>23.0</v>
      </c>
      <c r="E182" s="2">
        <v>0.0</v>
      </c>
      <c r="F182" s="2">
        <v>0.0</v>
      </c>
      <c r="G182" s="3" t="s">
        <v>15</v>
      </c>
      <c r="H182" s="2">
        <v>0.0</v>
      </c>
      <c r="I182" s="2">
        <v>0.0</v>
      </c>
      <c r="J182" s="2">
        <v>0.0</v>
      </c>
      <c r="K182" s="2">
        <v>0.0</v>
      </c>
      <c r="L182" s="2">
        <v>100.0</v>
      </c>
      <c r="M182" s="2">
        <v>0.0</v>
      </c>
      <c r="N182" s="2">
        <v>23.0</v>
      </c>
    </row>
    <row r="183">
      <c r="A183" s="1" t="s">
        <v>198</v>
      </c>
      <c r="B183" s="2">
        <v>20.0</v>
      </c>
      <c r="C183" s="2">
        <v>0.0</v>
      </c>
      <c r="D183" s="2">
        <v>19.0</v>
      </c>
      <c r="E183" s="2">
        <v>1.0</v>
      </c>
      <c r="F183" s="2">
        <v>0.333333333</v>
      </c>
      <c r="G183" s="3" t="s">
        <v>15</v>
      </c>
      <c r="H183" s="2">
        <v>0.0</v>
      </c>
      <c r="I183" s="2">
        <v>0.0</v>
      </c>
      <c r="J183" s="2">
        <v>0.0</v>
      </c>
      <c r="K183" s="2">
        <v>0.0</v>
      </c>
      <c r="L183" s="2">
        <v>95.0</v>
      </c>
      <c r="M183" s="2">
        <v>0.0</v>
      </c>
      <c r="N183" s="2">
        <v>19.0</v>
      </c>
    </row>
    <row r="184">
      <c r="A184" s="1" t="s">
        <v>199</v>
      </c>
      <c r="B184" s="2">
        <v>18.0</v>
      </c>
      <c r="C184" s="2">
        <v>0.0</v>
      </c>
      <c r="D184" s="2">
        <v>18.0</v>
      </c>
      <c r="E184" s="2">
        <v>0.0</v>
      </c>
      <c r="F184" s="2">
        <v>0.0</v>
      </c>
      <c r="G184" s="3" t="s">
        <v>15</v>
      </c>
      <c r="H184" s="2">
        <v>0.0</v>
      </c>
      <c r="I184" s="2">
        <v>0.0</v>
      </c>
      <c r="J184" s="2">
        <v>0.0</v>
      </c>
      <c r="K184" s="2">
        <v>0.0</v>
      </c>
      <c r="L184" s="2">
        <v>100.0</v>
      </c>
      <c r="M184" s="2">
        <v>0.0</v>
      </c>
      <c r="N184" s="2">
        <v>18.0</v>
      </c>
    </row>
    <row r="185">
      <c r="A185" s="1" t="s">
        <v>200</v>
      </c>
      <c r="B185" s="2">
        <v>17.0</v>
      </c>
      <c r="C185" s="2">
        <v>0.0</v>
      </c>
      <c r="D185" s="2">
        <v>15.0</v>
      </c>
      <c r="E185" s="2">
        <v>2.0</v>
      </c>
      <c r="F185" s="2">
        <v>0.666666667</v>
      </c>
      <c r="G185" s="3" t="s">
        <v>15</v>
      </c>
      <c r="H185" s="2">
        <v>0.0</v>
      </c>
      <c r="I185" s="2">
        <v>0.0</v>
      </c>
      <c r="J185" s="2">
        <v>0.0</v>
      </c>
      <c r="K185" s="2">
        <v>0.0</v>
      </c>
      <c r="L185" s="2">
        <v>88.24</v>
      </c>
      <c r="M185" s="2">
        <v>0.0</v>
      </c>
      <c r="N185" s="2">
        <v>17.0</v>
      </c>
    </row>
    <row r="186">
      <c r="A186" s="1" t="s">
        <v>201</v>
      </c>
      <c r="B186" s="2">
        <v>14.0</v>
      </c>
      <c r="C186" s="2">
        <v>0.0</v>
      </c>
      <c r="D186" s="2">
        <v>13.0</v>
      </c>
      <c r="E186" s="2">
        <v>1.0</v>
      </c>
      <c r="F186" s="2">
        <v>0.333333333</v>
      </c>
      <c r="G186" s="3" t="s">
        <v>15</v>
      </c>
      <c r="H186" s="2">
        <v>1.0</v>
      </c>
      <c r="I186" s="2">
        <v>0.0</v>
      </c>
      <c r="J186" s="2">
        <v>0.0</v>
      </c>
      <c r="K186" s="2">
        <v>0.0</v>
      </c>
      <c r="L186" s="2">
        <v>92.86</v>
      </c>
      <c r="M186" s="2">
        <v>0.0</v>
      </c>
      <c r="N186" s="2">
        <v>13.0</v>
      </c>
    </row>
    <row r="187">
      <c r="A187" s="1" t="s">
        <v>202</v>
      </c>
      <c r="B187" s="2">
        <v>12.0</v>
      </c>
      <c r="C187" s="2">
        <v>0.0</v>
      </c>
      <c r="D187" s="2">
        <v>12.0</v>
      </c>
      <c r="E187" s="2">
        <v>0.0</v>
      </c>
      <c r="F187" s="2">
        <v>0.0</v>
      </c>
      <c r="G187" s="3" t="s">
        <v>15</v>
      </c>
      <c r="H187" s="2">
        <v>0.0</v>
      </c>
      <c r="I187" s="2">
        <v>0.0</v>
      </c>
      <c r="J187" s="2">
        <v>0.0</v>
      </c>
      <c r="K187" s="2">
        <v>0.0</v>
      </c>
      <c r="L187" s="2">
        <v>100.0</v>
      </c>
      <c r="M187" s="2">
        <v>0.0</v>
      </c>
      <c r="N187" s="2">
        <v>12.0</v>
      </c>
    </row>
    <row r="188">
      <c r="A188" s="1" t="s">
        <v>203</v>
      </c>
      <c r="B188" s="2">
        <v>10.0</v>
      </c>
      <c r="C188" s="2">
        <v>1.0</v>
      </c>
      <c r="D188" s="2">
        <v>8.0</v>
      </c>
      <c r="E188" s="2">
        <v>1.0</v>
      </c>
      <c r="F188" s="2">
        <v>0.333333333</v>
      </c>
      <c r="G188" s="3" t="s">
        <v>21</v>
      </c>
      <c r="H188" s="2">
        <v>0.0</v>
      </c>
      <c r="I188" s="2">
        <v>0.0</v>
      </c>
      <c r="J188" s="2">
        <v>0.0</v>
      </c>
      <c r="K188" s="2">
        <v>10.0</v>
      </c>
      <c r="L188" s="2">
        <v>80.0</v>
      </c>
      <c r="M188" s="2">
        <v>12.5</v>
      </c>
      <c r="N188" s="2">
        <v>10.0</v>
      </c>
    </row>
  </sheetData>
  <autoFilter ref="$A$1:$N$188">
    <sortState ref="A1:N188">
      <sortCondition descending="1" ref="B1:B18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3.38"/>
  </cols>
  <sheetData>
    <row r="1">
      <c r="A1" s="1" t="s">
        <v>0</v>
      </c>
      <c r="B1" s="1" t="s">
        <v>2</v>
      </c>
      <c r="C1" s="1"/>
      <c r="J1" s="1" t="s">
        <v>0</v>
      </c>
      <c r="K1" s="1" t="s">
        <v>1</v>
      </c>
      <c r="L1" s="1" t="s">
        <v>2</v>
      </c>
      <c r="O1" s="4" t="s">
        <v>0</v>
      </c>
      <c r="P1" s="4" t="s">
        <v>204</v>
      </c>
    </row>
    <row r="2">
      <c r="A2" s="1" t="s">
        <v>67</v>
      </c>
      <c r="B2" s="2">
        <v>1269.0</v>
      </c>
      <c r="C2" s="2"/>
      <c r="J2" s="1" t="s">
        <v>67</v>
      </c>
      <c r="K2" s="2">
        <v>4290259.0</v>
      </c>
      <c r="L2" s="2">
        <v>148011.0</v>
      </c>
      <c r="O2" s="1" t="s">
        <v>16</v>
      </c>
      <c r="P2" s="2">
        <v>87618.0</v>
      </c>
    </row>
    <row r="3">
      <c r="A3" s="1" t="s">
        <v>112</v>
      </c>
      <c r="B3" s="2">
        <v>144.0</v>
      </c>
      <c r="C3" s="2"/>
      <c r="J3" s="1" t="s">
        <v>112</v>
      </c>
      <c r="K3" s="2">
        <v>2442375.0</v>
      </c>
      <c r="L3" s="2">
        <v>87618.0</v>
      </c>
      <c r="O3" s="1" t="s">
        <v>33</v>
      </c>
      <c r="P3" s="2">
        <v>30212.0</v>
      </c>
    </row>
    <row r="4">
      <c r="A4" s="1" t="s">
        <v>73</v>
      </c>
      <c r="B4" s="2">
        <v>1163.0</v>
      </c>
      <c r="C4" s="2"/>
      <c r="J4" s="1" t="s">
        <v>73</v>
      </c>
      <c r="K4" s="2">
        <v>1480073.0</v>
      </c>
      <c r="L4" s="2">
        <v>45844.0</v>
      </c>
      <c r="O4" s="1" t="s">
        <v>17</v>
      </c>
      <c r="P4" s="2">
        <v>33408.0</v>
      </c>
    </row>
    <row r="5">
      <c r="A5" s="1" t="s">
        <v>161</v>
      </c>
      <c r="B5" s="2">
        <v>52.0</v>
      </c>
      <c r="C5" s="2"/>
      <c r="J5" s="1" t="s">
        <v>161</v>
      </c>
      <c r="K5" s="2">
        <v>816680.0</v>
      </c>
      <c r="L5" s="2">
        <v>44022.0</v>
      </c>
      <c r="O5" s="1" t="s">
        <v>25</v>
      </c>
      <c r="P5" s="2">
        <v>15912.0</v>
      </c>
    </row>
    <row r="6">
      <c r="A6" s="1" t="s">
        <v>159</v>
      </c>
      <c r="B6" s="2">
        <v>41.0</v>
      </c>
      <c r="C6" s="2"/>
      <c r="J6" s="1" t="s">
        <v>159</v>
      </c>
      <c r="K6" s="2">
        <v>452529.0</v>
      </c>
      <c r="L6" s="2">
        <v>35112.0</v>
      </c>
      <c r="O6" s="1" t="s">
        <v>30</v>
      </c>
      <c r="P6" s="2">
        <v>35112.0</v>
      </c>
    </row>
    <row r="7">
      <c r="A7" s="1" t="s">
        <v>189</v>
      </c>
      <c r="B7" s="2">
        <v>3.0</v>
      </c>
      <c r="C7" s="2"/>
      <c r="J7" s="1" t="s">
        <v>189</v>
      </c>
      <c r="K7" s="2">
        <v>395489.0</v>
      </c>
      <c r="L7" s="2">
        <v>33408.0</v>
      </c>
      <c r="O7" s="1" t="s">
        <v>20</v>
      </c>
      <c r="P7" s="2">
        <v>44022.0</v>
      </c>
    </row>
    <row r="8">
      <c r="A8" s="1" t="s">
        <v>35</v>
      </c>
      <c r="B8" s="2">
        <v>3059.0</v>
      </c>
      <c r="C8" s="2"/>
      <c r="J8" s="1" t="s">
        <v>35</v>
      </c>
      <c r="K8" s="2">
        <v>389717.0</v>
      </c>
      <c r="L8" s="2">
        <v>30212.0</v>
      </c>
      <c r="O8" s="1" t="s">
        <v>22</v>
      </c>
      <c r="P8" s="2">
        <v>18418.0</v>
      </c>
    </row>
    <row r="9">
      <c r="A9" s="1" t="s">
        <v>66</v>
      </c>
      <c r="B9" s="2">
        <v>711.0</v>
      </c>
      <c r="C9" s="2"/>
      <c r="J9" s="1" t="s">
        <v>66</v>
      </c>
      <c r="K9" s="2">
        <v>347923.0</v>
      </c>
      <c r="L9" s="2">
        <v>28432.0</v>
      </c>
      <c r="O9" s="1" t="s">
        <v>27</v>
      </c>
      <c r="P9" s="2">
        <v>28432.0</v>
      </c>
    </row>
    <row r="10">
      <c r="A10" s="1" t="s">
        <v>87</v>
      </c>
      <c r="B10" s="2">
        <v>167.0</v>
      </c>
      <c r="C10" s="2"/>
      <c r="J10" s="1" t="s">
        <v>87</v>
      </c>
      <c r="K10" s="2">
        <v>301708.0</v>
      </c>
      <c r="L10" s="2">
        <v>18418.0</v>
      </c>
      <c r="O10" s="1" t="s">
        <v>24</v>
      </c>
      <c r="P10" s="2">
        <v>45844.0</v>
      </c>
    </row>
    <row r="11">
      <c r="A11" s="1" t="s">
        <v>79</v>
      </c>
      <c r="B11" s="2">
        <v>713.0</v>
      </c>
      <c r="C11" s="2"/>
      <c r="J11" s="1" t="s">
        <v>79</v>
      </c>
      <c r="K11" s="2">
        <v>293606.0</v>
      </c>
      <c r="L11" s="2">
        <v>15912.0</v>
      </c>
      <c r="O11" s="1" t="s">
        <v>14</v>
      </c>
      <c r="P11" s="2">
        <v>148011.0</v>
      </c>
    </row>
    <row r="12">
      <c r="A12" s="1" t="s">
        <v>72</v>
      </c>
      <c r="B12" s="2">
        <v>423.0</v>
      </c>
      <c r="C12" s="2"/>
      <c r="J12" s="1" t="s">
        <v>72</v>
      </c>
      <c r="K12" s="2">
        <v>274289.0</v>
      </c>
      <c r="L12" s="2">
        <v>13334.0</v>
      </c>
      <c r="O12" s="4" t="s">
        <v>205</v>
      </c>
      <c r="P12" s="5">
        <v>486989.0</v>
      </c>
    </row>
    <row r="13">
      <c r="A13" s="1" t="s">
        <v>174</v>
      </c>
      <c r="B13" s="2">
        <v>11.0</v>
      </c>
      <c r="C13" s="2"/>
      <c r="J13" s="1" t="s">
        <v>174</v>
      </c>
      <c r="K13" s="2">
        <v>272421.0</v>
      </c>
      <c r="L13" s="2">
        <v>9822.0</v>
      </c>
    </row>
    <row r="14">
      <c r="A14" s="1" t="s">
        <v>65</v>
      </c>
      <c r="B14" s="2">
        <v>141.0</v>
      </c>
      <c r="C14" s="2"/>
      <c r="J14" s="1" t="s">
        <v>65</v>
      </c>
      <c r="K14" s="2">
        <v>268934.0</v>
      </c>
      <c r="L14" s="2">
        <v>9187.0</v>
      </c>
    </row>
    <row r="15">
      <c r="A15" s="1" t="s">
        <v>32</v>
      </c>
      <c r="B15" s="2">
        <v>2965.0</v>
      </c>
      <c r="C15" s="2"/>
      <c r="J15" s="1" t="s">
        <v>32</v>
      </c>
      <c r="K15" s="2">
        <v>257101.0</v>
      </c>
      <c r="L15" s="2">
        <v>9125.0</v>
      </c>
    </row>
    <row r="16">
      <c r="A16" s="1" t="s">
        <v>187</v>
      </c>
      <c r="B16" s="2">
        <v>7.0</v>
      </c>
      <c r="C16" s="2"/>
      <c r="J16" s="1" t="s">
        <v>187</v>
      </c>
      <c r="K16" s="2">
        <v>246286.0</v>
      </c>
      <c r="L16" s="2">
        <v>8944.0</v>
      </c>
    </row>
    <row r="17" hidden="1">
      <c r="A17" s="1" t="s">
        <v>49</v>
      </c>
      <c r="B17" s="2">
        <v>538.0</v>
      </c>
      <c r="C17" s="2"/>
      <c r="J17" s="1" t="s">
        <v>49</v>
      </c>
      <c r="K17" s="2">
        <v>227019.0</v>
      </c>
      <c r="L17" s="2">
        <v>8777.0</v>
      </c>
    </row>
    <row r="18" hidden="1">
      <c r="A18" s="1" t="s">
        <v>51</v>
      </c>
      <c r="B18" s="2">
        <v>9822.0</v>
      </c>
      <c r="C18" s="2"/>
      <c r="J18" s="1" t="s">
        <v>51</v>
      </c>
      <c r="K18" s="2">
        <v>226225.0</v>
      </c>
      <c r="L18" s="2">
        <v>7067.0</v>
      </c>
    </row>
    <row r="19" hidden="1">
      <c r="A19" s="1" t="s">
        <v>193</v>
      </c>
      <c r="B19" s="2">
        <v>2.0</v>
      </c>
      <c r="C19" s="2"/>
      <c r="J19" s="1" t="s">
        <v>193</v>
      </c>
      <c r="K19" s="2">
        <v>220352.0</v>
      </c>
      <c r="L19" s="2">
        <v>6160.0</v>
      </c>
    </row>
    <row r="20" hidden="1">
      <c r="A20" s="1" t="s">
        <v>144</v>
      </c>
      <c r="B20" s="2">
        <v>35.0</v>
      </c>
      <c r="C20" s="2"/>
      <c r="J20" s="1" t="s">
        <v>144</v>
      </c>
      <c r="K20" s="2">
        <v>207112.0</v>
      </c>
      <c r="L20" s="2">
        <v>5842.0</v>
      </c>
    </row>
    <row r="21" hidden="1">
      <c r="A21" s="1" t="s">
        <v>188</v>
      </c>
      <c r="B21" s="2">
        <v>0.0</v>
      </c>
      <c r="C21" s="2"/>
      <c r="J21" s="1" t="s">
        <v>188</v>
      </c>
      <c r="K21" s="2">
        <v>167416.0</v>
      </c>
      <c r="L21" s="2">
        <v>5700.0</v>
      </c>
    </row>
    <row r="22" hidden="1">
      <c r="A22" s="1" t="s">
        <v>48</v>
      </c>
      <c r="B22" s="2">
        <v>2647.0</v>
      </c>
      <c r="C22" s="2"/>
      <c r="J22" s="1" t="s">
        <v>48</v>
      </c>
      <c r="K22" s="2">
        <v>116458.0</v>
      </c>
      <c r="L22" s="2">
        <v>5630.0</v>
      </c>
    </row>
    <row r="23" hidden="1">
      <c r="A23" s="1" t="s">
        <v>95</v>
      </c>
      <c r="B23" s="2">
        <v>294.0</v>
      </c>
      <c r="C23" s="2"/>
      <c r="J23" s="1" t="s">
        <v>95</v>
      </c>
      <c r="K23" s="2">
        <v>112585.0</v>
      </c>
      <c r="L23" s="2">
        <v>5532.0</v>
      </c>
    </row>
    <row r="24" hidden="1">
      <c r="A24" s="1" t="s">
        <v>165</v>
      </c>
      <c r="B24" s="2">
        <v>2.0</v>
      </c>
      <c r="C24" s="2"/>
      <c r="J24" s="1" t="s">
        <v>165</v>
      </c>
      <c r="K24" s="2">
        <v>109597.0</v>
      </c>
      <c r="L24" s="2">
        <v>4838.0</v>
      </c>
    </row>
    <row r="25" hidden="1">
      <c r="A25" s="1" t="s">
        <v>16</v>
      </c>
      <c r="B25" s="2">
        <v>87618.0</v>
      </c>
      <c r="C25" s="2"/>
      <c r="J25" s="1" t="s">
        <v>16</v>
      </c>
      <c r="K25" s="2">
        <v>100303.0</v>
      </c>
      <c r="L25" s="2">
        <v>4656.0</v>
      </c>
    </row>
    <row r="26" hidden="1">
      <c r="A26" s="1" t="s">
        <v>184</v>
      </c>
      <c r="B26" s="2">
        <v>3.0</v>
      </c>
      <c r="C26" s="2"/>
      <c r="J26" s="1" t="s">
        <v>184</v>
      </c>
      <c r="K26" s="2">
        <v>92482.0</v>
      </c>
      <c r="L26" s="2">
        <v>4652.0</v>
      </c>
    </row>
    <row r="27" hidden="1">
      <c r="A27" s="1" t="s">
        <v>93</v>
      </c>
      <c r="B27" s="2">
        <v>347.0</v>
      </c>
      <c r="C27" s="2"/>
      <c r="J27" s="1" t="s">
        <v>93</v>
      </c>
      <c r="K27" s="2">
        <v>86783.0</v>
      </c>
      <c r="L27" s="2">
        <v>4458.0</v>
      </c>
    </row>
    <row r="28" hidden="1">
      <c r="A28" s="1" t="s">
        <v>157</v>
      </c>
      <c r="B28" s="2">
        <v>53.0</v>
      </c>
      <c r="C28" s="2"/>
      <c r="J28" s="1" t="s">
        <v>157</v>
      </c>
      <c r="K28" s="2">
        <v>84648.0</v>
      </c>
      <c r="L28" s="2">
        <v>3059.0</v>
      </c>
    </row>
    <row r="29" hidden="1">
      <c r="A29" s="1" t="s">
        <v>177</v>
      </c>
      <c r="B29" s="2">
        <v>6.0</v>
      </c>
      <c r="C29" s="2"/>
      <c r="J29" s="1" t="s">
        <v>177</v>
      </c>
      <c r="K29" s="2">
        <v>82040.0</v>
      </c>
      <c r="L29" s="2">
        <v>2965.0</v>
      </c>
    </row>
    <row r="30" hidden="1">
      <c r="A30" s="1" t="s">
        <v>175</v>
      </c>
      <c r="B30" s="2">
        <v>1.0</v>
      </c>
      <c r="C30" s="2"/>
      <c r="J30" s="1" t="s">
        <v>175</v>
      </c>
      <c r="K30" s="2">
        <v>81161.0</v>
      </c>
      <c r="L30" s="2">
        <v>2760.0</v>
      </c>
    </row>
    <row r="31" hidden="1">
      <c r="A31" s="1" t="s">
        <v>132</v>
      </c>
      <c r="B31" s="2">
        <v>22.0</v>
      </c>
      <c r="C31" s="2"/>
      <c r="J31" s="1" t="s">
        <v>132</v>
      </c>
      <c r="K31" s="2">
        <v>79395.0</v>
      </c>
      <c r="L31" s="2">
        <v>2647.0</v>
      </c>
    </row>
    <row r="32" hidden="1">
      <c r="A32" s="1" t="s">
        <v>182</v>
      </c>
      <c r="B32" s="2">
        <v>0.0</v>
      </c>
      <c r="C32" s="2"/>
      <c r="J32" s="1" t="s">
        <v>182</v>
      </c>
      <c r="K32" s="2">
        <v>77058.0</v>
      </c>
      <c r="L32" s="2">
        <v>2206.0</v>
      </c>
    </row>
    <row r="33" hidden="1">
      <c r="A33" s="1" t="s">
        <v>82</v>
      </c>
      <c r="B33" s="2">
        <v>391.0</v>
      </c>
      <c r="C33" s="2"/>
      <c r="J33" s="1" t="s">
        <v>82</v>
      </c>
      <c r="K33" s="2">
        <v>71181.0</v>
      </c>
      <c r="L33" s="2">
        <v>1978.0</v>
      </c>
    </row>
    <row r="34" hidden="1">
      <c r="A34" s="1" t="s">
        <v>36</v>
      </c>
      <c r="B34" s="2">
        <v>8944.0</v>
      </c>
      <c r="C34" s="2"/>
      <c r="J34" s="1" t="s">
        <v>36</v>
      </c>
      <c r="K34" s="2">
        <v>67251.0</v>
      </c>
      <c r="L34" s="2">
        <v>1945.0</v>
      </c>
    </row>
    <row r="35" hidden="1">
      <c r="A35" s="1" t="s">
        <v>113</v>
      </c>
      <c r="B35" s="2">
        <v>59.0</v>
      </c>
      <c r="C35" s="2"/>
      <c r="J35" s="1" t="s">
        <v>113</v>
      </c>
      <c r="K35" s="2">
        <v>67096.0</v>
      </c>
      <c r="L35" s="2">
        <v>1764.0</v>
      </c>
    </row>
    <row r="36" hidden="1">
      <c r="A36" s="1" t="s">
        <v>160</v>
      </c>
      <c r="B36" s="2">
        <v>75.0</v>
      </c>
      <c r="C36" s="2"/>
      <c r="J36" s="1" t="s">
        <v>160</v>
      </c>
      <c r="K36" s="2">
        <v>66428.0</v>
      </c>
      <c r="L36" s="2">
        <v>1761.0</v>
      </c>
    </row>
    <row r="37" hidden="1">
      <c r="A37" s="1" t="s">
        <v>23</v>
      </c>
      <c r="B37" s="2">
        <v>9187.0</v>
      </c>
      <c r="C37" s="2"/>
      <c r="J37" s="1" t="s">
        <v>23</v>
      </c>
      <c r="K37" s="2">
        <v>64379.0</v>
      </c>
      <c r="L37" s="2">
        <v>1719.0</v>
      </c>
    </row>
    <row r="38" hidden="1">
      <c r="A38" s="1" t="s">
        <v>42</v>
      </c>
      <c r="B38" s="2">
        <v>4656.0</v>
      </c>
      <c r="C38" s="2"/>
      <c r="J38" s="1" t="s">
        <v>42</v>
      </c>
      <c r="K38" s="2">
        <v>64156.0</v>
      </c>
      <c r="L38" s="2">
        <v>1676.0</v>
      </c>
    </row>
    <row r="39" hidden="1">
      <c r="A39" s="1" t="s">
        <v>29</v>
      </c>
      <c r="B39" s="2">
        <v>8777.0</v>
      </c>
      <c r="C39" s="2"/>
      <c r="J39" s="1" t="s">
        <v>29</v>
      </c>
      <c r="K39" s="2">
        <v>63985.0</v>
      </c>
      <c r="L39" s="2">
        <v>1636.0</v>
      </c>
    </row>
    <row r="40" hidden="1">
      <c r="A40" s="1" t="s">
        <v>176</v>
      </c>
      <c r="B40" s="2">
        <v>7.0</v>
      </c>
      <c r="C40" s="2"/>
      <c r="J40" s="1" t="s">
        <v>176</v>
      </c>
      <c r="K40" s="2">
        <v>61442.0</v>
      </c>
      <c r="L40" s="2">
        <v>1322.0</v>
      </c>
    </row>
    <row r="41" hidden="1">
      <c r="A41" s="1" t="s">
        <v>123</v>
      </c>
      <c r="B41" s="2">
        <v>54.0</v>
      </c>
      <c r="C41" s="2"/>
      <c r="J41" s="1" t="s">
        <v>123</v>
      </c>
      <c r="K41" s="2">
        <v>59177.0</v>
      </c>
      <c r="L41" s="2">
        <v>1301.0</v>
      </c>
    </row>
    <row r="42" hidden="1">
      <c r="A42" s="1" t="s">
        <v>101</v>
      </c>
      <c r="B42" s="2">
        <v>208.0</v>
      </c>
      <c r="C42" s="2"/>
      <c r="J42" s="1" t="s">
        <v>101</v>
      </c>
      <c r="K42" s="2">
        <v>53413.0</v>
      </c>
      <c r="L42" s="2">
        <v>1269.0</v>
      </c>
    </row>
    <row r="43" hidden="1">
      <c r="A43" s="1" t="s">
        <v>84</v>
      </c>
      <c r="B43" s="2">
        <v>115.0</v>
      </c>
      <c r="C43" s="2"/>
      <c r="J43" s="1" t="s">
        <v>84</v>
      </c>
      <c r="K43" s="2">
        <v>50838.0</v>
      </c>
      <c r="L43" s="2">
        <v>1166.0</v>
      </c>
    </row>
    <row r="44" hidden="1">
      <c r="A44" s="1" t="s">
        <v>85</v>
      </c>
      <c r="B44" s="2">
        <v>96.0</v>
      </c>
      <c r="C44" s="2"/>
      <c r="J44" s="1" t="s">
        <v>85</v>
      </c>
      <c r="K44" s="2">
        <v>50299.0</v>
      </c>
      <c r="L44" s="2">
        <v>1163.0</v>
      </c>
    </row>
    <row r="45" hidden="1">
      <c r="A45" s="1" t="s">
        <v>111</v>
      </c>
      <c r="B45" s="2">
        <v>139.0</v>
      </c>
      <c r="C45" s="2"/>
      <c r="J45" s="1" t="s">
        <v>111</v>
      </c>
      <c r="K45" s="2">
        <v>45902.0</v>
      </c>
      <c r="L45" s="2">
        <v>1083.0</v>
      </c>
    </row>
    <row r="46" hidden="1">
      <c r="A46" s="1" t="s">
        <v>130</v>
      </c>
      <c r="B46" s="2">
        <v>87.0</v>
      </c>
      <c r="C46" s="2"/>
      <c r="J46" s="1" t="s">
        <v>130</v>
      </c>
      <c r="K46" s="2">
        <v>45309.0</v>
      </c>
      <c r="L46" s="2">
        <v>998.0</v>
      </c>
    </row>
    <row r="47" hidden="1">
      <c r="A47" s="1" t="s">
        <v>158</v>
      </c>
      <c r="B47" s="2">
        <v>19.0</v>
      </c>
      <c r="C47" s="2"/>
      <c r="J47" s="1" t="s">
        <v>158</v>
      </c>
      <c r="K47" s="2">
        <v>43402.0</v>
      </c>
      <c r="L47" s="2">
        <v>860.0</v>
      </c>
    </row>
    <row r="48" hidden="1">
      <c r="A48" s="1" t="s">
        <v>86</v>
      </c>
      <c r="B48" s="2">
        <v>373.0</v>
      </c>
      <c r="C48" s="2"/>
      <c r="J48" s="1" t="s">
        <v>86</v>
      </c>
      <c r="K48" s="2">
        <v>41180.0</v>
      </c>
      <c r="L48" s="2">
        <v>748.0</v>
      </c>
    </row>
    <row r="49" hidden="1">
      <c r="A49" s="1" t="s">
        <v>91</v>
      </c>
      <c r="B49" s="2">
        <v>613.0</v>
      </c>
      <c r="C49" s="2"/>
      <c r="J49" s="1" t="s">
        <v>91</v>
      </c>
      <c r="K49" s="2">
        <v>39741.0</v>
      </c>
      <c r="L49" s="2">
        <v>720.0</v>
      </c>
    </row>
    <row r="50" hidden="1">
      <c r="A50" s="1" t="s">
        <v>110</v>
      </c>
      <c r="B50" s="2">
        <v>58.0</v>
      </c>
      <c r="C50" s="2"/>
      <c r="J50" s="1" t="s">
        <v>110</v>
      </c>
      <c r="K50" s="2">
        <v>39482.0</v>
      </c>
      <c r="L50" s="2">
        <v>713.0</v>
      </c>
    </row>
    <row r="51" hidden="1">
      <c r="A51" s="1" t="s">
        <v>199</v>
      </c>
      <c r="B51" s="2">
        <v>0.0</v>
      </c>
      <c r="C51" s="2"/>
      <c r="J51" s="1" t="s">
        <v>199</v>
      </c>
      <c r="K51" s="2">
        <v>37390.0</v>
      </c>
      <c r="L51" s="2">
        <v>711.0</v>
      </c>
    </row>
    <row r="52" hidden="1">
      <c r="A52" s="1" t="s">
        <v>53</v>
      </c>
      <c r="B52" s="2">
        <v>1083.0</v>
      </c>
      <c r="C52" s="2"/>
      <c r="J52" s="1" t="s">
        <v>53</v>
      </c>
      <c r="K52" s="2">
        <v>36263.0</v>
      </c>
      <c r="L52" s="2">
        <v>613.0</v>
      </c>
    </row>
    <row r="53" hidden="1">
      <c r="A53" s="1" t="s">
        <v>45</v>
      </c>
      <c r="B53" s="2">
        <v>5532.0</v>
      </c>
      <c r="C53" s="2"/>
      <c r="J53" s="1" t="s">
        <v>45</v>
      </c>
      <c r="K53" s="2">
        <v>34477.0</v>
      </c>
      <c r="L53" s="2">
        <v>596.0</v>
      </c>
    </row>
    <row r="54" hidden="1">
      <c r="A54" s="1" t="s">
        <v>41</v>
      </c>
      <c r="B54" s="2">
        <v>4652.0</v>
      </c>
      <c r="C54" s="2"/>
      <c r="J54" s="1" t="s">
        <v>41</v>
      </c>
      <c r="K54" s="2">
        <v>33624.0</v>
      </c>
      <c r="L54" s="2">
        <v>585.0</v>
      </c>
    </row>
    <row r="55" hidden="1">
      <c r="A55" s="1" t="s">
        <v>88</v>
      </c>
      <c r="B55" s="2">
        <v>408.0</v>
      </c>
      <c r="C55" s="2"/>
      <c r="J55" s="1" t="s">
        <v>88</v>
      </c>
      <c r="K55" s="2">
        <v>33296.0</v>
      </c>
      <c r="L55" s="2">
        <v>543.0</v>
      </c>
    </row>
    <row r="56" hidden="1">
      <c r="A56" s="1" t="s">
        <v>125</v>
      </c>
      <c r="B56" s="2">
        <v>51.0</v>
      </c>
      <c r="C56" s="2"/>
      <c r="J56" s="1" t="s">
        <v>125</v>
      </c>
      <c r="K56" s="2">
        <v>31142.0</v>
      </c>
      <c r="L56" s="2">
        <v>538.0</v>
      </c>
    </row>
    <row r="57" hidden="1">
      <c r="A57" s="1" t="s">
        <v>181</v>
      </c>
      <c r="B57" s="2">
        <v>0.0</v>
      </c>
      <c r="C57" s="2"/>
      <c r="J57" s="1" t="s">
        <v>181</v>
      </c>
      <c r="K57" s="2">
        <v>30446.0</v>
      </c>
      <c r="L57" s="2">
        <v>483.0</v>
      </c>
    </row>
    <row r="58" hidden="1">
      <c r="A58" s="1" t="s">
        <v>137</v>
      </c>
      <c r="B58" s="2">
        <v>69.0</v>
      </c>
      <c r="C58" s="2"/>
      <c r="J58" s="1" t="s">
        <v>137</v>
      </c>
      <c r="K58" s="2">
        <v>27973.0</v>
      </c>
      <c r="L58" s="2">
        <v>474.0</v>
      </c>
    </row>
    <row r="59" hidden="1">
      <c r="A59" s="1" t="s">
        <v>133</v>
      </c>
      <c r="B59" s="2">
        <v>34.0</v>
      </c>
      <c r="C59" s="2"/>
      <c r="J59" s="1" t="s">
        <v>133</v>
      </c>
      <c r="K59" s="2">
        <v>25892.0</v>
      </c>
      <c r="L59" s="2">
        <v>466.0</v>
      </c>
    </row>
    <row r="60" hidden="1">
      <c r="A60" s="1" t="s">
        <v>89</v>
      </c>
      <c r="B60" s="2">
        <v>228.0</v>
      </c>
      <c r="C60" s="2"/>
      <c r="J60" s="1" t="s">
        <v>89</v>
      </c>
      <c r="K60" s="2">
        <v>24141.0</v>
      </c>
      <c r="L60" s="2">
        <v>438.0</v>
      </c>
    </row>
    <row r="61" hidden="1">
      <c r="A61" s="1" t="s">
        <v>194</v>
      </c>
      <c r="B61" s="2">
        <v>0.0</v>
      </c>
      <c r="C61" s="2"/>
      <c r="J61" s="1" t="s">
        <v>194</v>
      </c>
      <c r="K61" s="2">
        <v>23154.0</v>
      </c>
      <c r="L61" s="2">
        <v>423.0</v>
      </c>
    </row>
    <row r="62" hidden="1">
      <c r="A62" s="1" t="s">
        <v>103</v>
      </c>
      <c r="B62" s="2">
        <v>329.0</v>
      </c>
      <c r="C62" s="2"/>
      <c r="J62" s="1" t="s">
        <v>103</v>
      </c>
      <c r="K62" s="2">
        <v>21209.0</v>
      </c>
      <c r="L62" s="2">
        <v>408.0</v>
      </c>
    </row>
    <row r="63" hidden="1">
      <c r="A63" s="1" t="s">
        <v>33</v>
      </c>
      <c r="B63" s="2">
        <v>30212.0</v>
      </c>
      <c r="C63" s="2"/>
      <c r="J63" s="1" t="s">
        <v>33</v>
      </c>
      <c r="K63" s="2">
        <v>20887.0</v>
      </c>
      <c r="L63" s="2">
        <v>393.0</v>
      </c>
    </row>
    <row r="64" hidden="1">
      <c r="A64" s="1" t="s">
        <v>106</v>
      </c>
      <c r="B64" s="2">
        <v>49.0</v>
      </c>
      <c r="C64" s="2"/>
      <c r="J64" s="1" t="s">
        <v>106</v>
      </c>
      <c r="K64" s="2">
        <v>20558.0</v>
      </c>
      <c r="L64" s="2">
        <v>391.0</v>
      </c>
    </row>
    <row r="65" hidden="1">
      <c r="A65" s="1" t="s">
        <v>179</v>
      </c>
      <c r="B65" s="2">
        <v>8.0</v>
      </c>
      <c r="C65" s="2"/>
      <c r="J65" s="1" t="s">
        <v>179</v>
      </c>
      <c r="K65" s="2">
        <v>18752.0</v>
      </c>
      <c r="L65" s="2">
        <v>373.0</v>
      </c>
    </row>
    <row r="66" hidden="1">
      <c r="A66" s="1" t="s">
        <v>154</v>
      </c>
      <c r="B66" s="2">
        <v>16.0</v>
      </c>
      <c r="C66" s="2"/>
      <c r="J66" s="1" t="s">
        <v>154</v>
      </c>
      <c r="K66" s="2">
        <v>17975.0</v>
      </c>
      <c r="L66" s="2">
        <v>347.0</v>
      </c>
    </row>
    <row r="67" hidden="1">
      <c r="A67" s="1" t="s">
        <v>34</v>
      </c>
      <c r="B67" s="2">
        <v>9125.0</v>
      </c>
      <c r="C67" s="2"/>
      <c r="J67" s="1" t="s">
        <v>34</v>
      </c>
      <c r="K67" s="2">
        <v>17110.0</v>
      </c>
      <c r="L67" s="2">
        <v>345.0</v>
      </c>
    </row>
    <row r="68" hidden="1">
      <c r="A68" s="1" t="s">
        <v>69</v>
      </c>
      <c r="B68" s="2">
        <v>168.0</v>
      </c>
      <c r="C68" s="2"/>
      <c r="J68" s="1" t="s">
        <v>69</v>
      </c>
      <c r="K68" s="2">
        <v>15988.0</v>
      </c>
      <c r="L68" s="2">
        <v>329.0</v>
      </c>
    </row>
    <row r="69" hidden="1">
      <c r="A69" s="1" t="s">
        <v>117</v>
      </c>
      <c r="B69" s="2">
        <v>202.0</v>
      </c>
      <c r="C69" s="2"/>
      <c r="J69" s="1" t="s">
        <v>117</v>
      </c>
      <c r="K69" s="2">
        <v>15841.0</v>
      </c>
      <c r="L69" s="2">
        <v>316.0</v>
      </c>
    </row>
    <row r="70" hidden="1">
      <c r="A70" s="1" t="s">
        <v>201</v>
      </c>
      <c r="B70" s="2">
        <v>0.0</v>
      </c>
      <c r="C70" s="2"/>
      <c r="J70" s="1" t="s">
        <v>201</v>
      </c>
      <c r="K70" s="2">
        <v>15655.0</v>
      </c>
      <c r="L70" s="2">
        <v>300.0</v>
      </c>
    </row>
    <row r="71" hidden="1">
      <c r="A71" s="1" t="s">
        <v>197</v>
      </c>
      <c r="B71" s="2">
        <v>0.0</v>
      </c>
      <c r="C71" s="2"/>
      <c r="J71" s="1" t="s">
        <v>197</v>
      </c>
      <c r="K71" s="2">
        <v>15516.0</v>
      </c>
      <c r="L71" s="2">
        <v>294.0</v>
      </c>
    </row>
    <row r="72" hidden="1">
      <c r="A72" s="1" t="s">
        <v>61</v>
      </c>
      <c r="B72" s="2">
        <v>1761.0</v>
      </c>
      <c r="C72" s="2"/>
      <c r="J72" s="1" t="s">
        <v>61</v>
      </c>
      <c r="K72" s="2">
        <v>15303.0</v>
      </c>
      <c r="L72" s="2">
        <v>285.0</v>
      </c>
    </row>
    <row r="73" hidden="1">
      <c r="A73" s="1" t="s">
        <v>107</v>
      </c>
      <c r="B73" s="2">
        <v>45.0</v>
      </c>
      <c r="C73" s="2"/>
      <c r="J73" s="1" t="s">
        <v>107</v>
      </c>
      <c r="K73" s="2">
        <v>15035.0</v>
      </c>
      <c r="L73" s="2">
        <v>255.0</v>
      </c>
    </row>
    <row r="74" hidden="1">
      <c r="A74" s="1" t="s">
        <v>139</v>
      </c>
      <c r="B74" s="2">
        <v>26.0</v>
      </c>
      <c r="C74" s="2"/>
      <c r="J74" s="1" t="s">
        <v>139</v>
      </c>
      <c r="K74" s="2">
        <v>14547.0</v>
      </c>
      <c r="L74" s="2">
        <v>228.0</v>
      </c>
    </row>
    <row r="75" hidden="1">
      <c r="A75" s="1" t="s">
        <v>173</v>
      </c>
      <c r="B75" s="2">
        <v>20.0</v>
      </c>
      <c r="C75" s="2"/>
      <c r="J75" s="1" t="s">
        <v>173</v>
      </c>
      <c r="K75" s="2">
        <v>14203.0</v>
      </c>
      <c r="L75" s="2">
        <v>208.0</v>
      </c>
    </row>
    <row r="76" hidden="1">
      <c r="A76" s="1" t="s">
        <v>104</v>
      </c>
      <c r="B76" s="2">
        <v>158.0</v>
      </c>
      <c r="C76" s="2"/>
      <c r="J76" s="1" t="s">
        <v>104</v>
      </c>
      <c r="K76" s="2">
        <v>13761.0</v>
      </c>
      <c r="L76" s="2">
        <v>202.0</v>
      </c>
    </row>
    <row r="77" hidden="1">
      <c r="A77" s="1" t="s">
        <v>202</v>
      </c>
      <c r="B77" s="2">
        <v>0.0</v>
      </c>
      <c r="C77" s="2"/>
      <c r="J77" s="1" t="s">
        <v>202</v>
      </c>
      <c r="K77" s="2">
        <v>11424.0</v>
      </c>
      <c r="L77" s="2">
        <v>194.0</v>
      </c>
    </row>
    <row r="78" hidden="1">
      <c r="A78" s="1" t="s">
        <v>64</v>
      </c>
      <c r="B78" s="2">
        <v>1166.0</v>
      </c>
      <c r="C78" s="2"/>
      <c r="J78" s="1" t="s">
        <v>64</v>
      </c>
      <c r="K78" s="2">
        <v>10621.0</v>
      </c>
      <c r="L78" s="2">
        <v>185.0</v>
      </c>
    </row>
    <row r="79" hidden="1">
      <c r="A79" s="1" t="s">
        <v>116</v>
      </c>
      <c r="B79" s="2">
        <v>596.0</v>
      </c>
      <c r="C79" s="2"/>
      <c r="J79" s="1" t="s">
        <v>116</v>
      </c>
      <c r="K79" s="2">
        <v>10621.0</v>
      </c>
      <c r="L79" s="2">
        <v>168.0</v>
      </c>
    </row>
    <row r="80" hidden="1">
      <c r="A80" s="1" t="s">
        <v>141</v>
      </c>
      <c r="B80" s="2">
        <v>10.0</v>
      </c>
      <c r="C80" s="2"/>
      <c r="J80" s="1" t="s">
        <v>141</v>
      </c>
      <c r="K80" s="2">
        <v>10498.0</v>
      </c>
      <c r="L80" s="2">
        <v>167.0</v>
      </c>
    </row>
    <row r="81" hidden="1">
      <c r="A81" s="1" t="s">
        <v>17</v>
      </c>
      <c r="B81" s="2">
        <v>33408.0</v>
      </c>
      <c r="C81" s="2"/>
      <c r="J81" s="1" t="s">
        <v>17</v>
      </c>
      <c r="K81" s="2">
        <v>10213.0</v>
      </c>
      <c r="L81" s="2">
        <v>165.0</v>
      </c>
    </row>
    <row r="82" hidden="1">
      <c r="A82" s="1" t="s">
        <v>40</v>
      </c>
      <c r="B82" s="2">
        <v>4838.0</v>
      </c>
      <c r="C82" s="2"/>
      <c r="J82" s="1" t="s">
        <v>40</v>
      </c>
      <c r="K82" s="2">
        <v>9764.0</v>
      </c>
      <c r="L82" s="2">
        <v>158.0</v>
      </c>
    </row>
    <row r="83" hidden="1">
      <c r="A83" s="1" t="s">
        <v>25</v>
      </c>
      <c r="B83" s="2">
        <v>15912.0</v>
      </c>
      <c r="C83" s="2"/>
      <c r="J83" s="1" t="s">
        <v>25</v>
      </c>
      <c r="K83" s="2">
        <v>9690.0</v>
      </c>
      <c r="L83" s="2">
        <v>156.0</v>
      </c>
    </row>
    <row r="84" hidden="1">
      <c r="A84" s="1" t="s">
        <v>38</v>
      </c>
      <c r="B84" s="2">
        <v>4458.0</v>
      </c>
      <c r="C84" s="2"/>
      <c r="J84" s="1" t="s">
        <v>38</v>
      </c>
      <c r="K84" s="2">
        <v>9132.0</v>
      </c>
      <c r="L84" s="2">
        <v>146.0</v>
      </c>
    </row>
    <row r="85" hidden="1">
      <c r="A85" s="1" t="s">
        <v>74</v>
      </c>
      <c r="B85" s="2">
        <v>1764.0</v>
      </c>
      <c r="C85" s="2"/>
      <c r="J85" s="1" t="s">
        <v>74</v>
      </c>
      <c r="K85" s="2">
        <v>8904.0</v>
      </c>
      <c r="L85" s="2">
        <v>144.0</v>
      </c>
    </row>
    <row r="86" hidden="1">
      <c r="A86" s="1" t="s">
        <v>54</v>
      </c>
      <c r="B86" s="2">
        <v>474.0</v>
      </c>
      <c r="C86" s="2"/>
      <c r="J86" s="1" t="s">
        <v>54</v>
      </c>
      <c r="K86" s="2">
        <v>8844.0</v>
      </c>
      <c r="L86" s="2">
        <v>141.0</v>
      </c>
    </row>
    <row r="87" hidden="1">
      <c r="A87" s="1" t="s">
        <v>30</v>
      </c>
      <c r="B87" s="2">
        <v>35112.0</v>
      </c>
      <c r="C87" s="2"/>
      <c r="J87" s="1" t="s">
        <v>30</v>
      </c>
      <c r="K87" s="2">
        <v>7413.0</v>
      </c>
      <c r="L87" s="2">
        <v>140.0</v>
      </c>
    </row>
    <row r="88" hidden="1">
      <c r="A88" s="1" t="s">
        <v>164</v>
      </c>
      <c r="B88" s="2">
        <v>10.0</v>
      </c>
      <c r="C88" s="2"/>
      <c r="J88" s="1" t="s">
        <v>164</v>
      </c>
      <c r="K88" s="2">
        <v>7398.0</v>
      </c>
      <c r="L88" s="2">
        <v>139.0</v>
      </c>
    </row>
    <row r="89" hidden="1">
      <c r="A89" s="1" t="s">
        <v>71</v>
      </c>
      <c r="B89" s="2">
        <v>998.0</v>
      </c>
      <c r="C89" s="2"/>
      <c r="J89" s="1" t="s">
        <v>71</v>
      </c>
      <c r="K89" s="2">
        <v>7340.0</v>
      </c>
      <c r="L89" s="2">
        <v>124.0</v>
      </c>
    </row>
    <row r="90" hidden="1">
      <c r="A90" s="1" t="s">
        <v>152</v>
      </c>
      <c r="B90" s="2">
        <v>11.0</v>
      </c>
      <c r="C90" s="2"/>
      <c r="J90" s="1" t="s">
        <v>152</v>
      </c>
      <c r="K90" s="2">
        <v>7235.0</v>
      </c>
      <c r="L90" s="2">
        <v>124.0</v>
      </c>
    </row>
    <row r="91" hidden="1">
      <c r="A91" s="1" t="s">
        <v>43</v>
      </c>
      <c r="B91" s="2">
        <v>585.0</v>
      </c>
      <c r="C91" s="2"/>
      <c r="J91" s="1" t="s">
        <v>43</v>
      </c>
      <c r="K91" s="2">
        <v>7189.0</v>
      </c>
      <c r="L91" s="2">
        <v>121.0</v>
      </c>
    </row>
    <row r="92" hidden="1">
      <c r="A92" s="1" t="s">
        <v>81</v>
      </c>
      <c r="B92" s="2">
        <v>285.0</v>
      </c>
      <c r="C92" s="2"/>
      <c r="J92" s="1" t="s">
        <v>81</v>
      </c>
      <c r="K92" s="2">
        <v>7055.0</v>
      </c>
      <c r="L92" s="2">
        <v>116.0</v>
      </c>
    </row>
    <row r="93" hidden="1">
      <c r="A93" s="1" t="s">
        <v>102</v>
      </c>
      <c r="B93" s="2">
        <v>185.0</v>
      </c>
      <c r="C93" s="2"/>
      <c r="J93" s="1" t="s">
        <v>102</v>
      </c>
      <c r="K93" s="2">
        <v>6321.0</v>
      </c>
      <c r="L93" s="2">
        <v>115.0</v>
      </c>
    </row>
    <row r="94" hidden="1">
      <c r="A94" s="1" t="s">
        <v>52</v>
      </c>
      <c r="B94" s="2">
        <v>438.0</v>
      </c>
      <c r="C94" s="2"/>
      <c r="J94" s="1" t="s">
        <v>52</v>
      </c>
      <c r="K94" s="2">
        <v>6208.0</v>
      </c>
      <c r="L94" s="2">
        <v>112.0</v>
      </c>
    </row>
    <row r="95" hidden="1">
      <c r="A95" s="1" t="s">
        <v>70</v>
      </c>
      <c r="B95" s="2">
        <v>1301.0</v>
      </c>
      <c r="C95" s="2"/>
      <c r="J95" s="1" t="s">
        <v>70</v>
      </c>
      <c r="K95" s="2">
        <v>5059.0</v>
      </c>
      <c r="L95" s="2">
        <v>108.0</v>
      </c>
    </row>
    <row r="96" hidden="1">
      <c r="A96" s="1" t="s">
        <v>198</v>
      </c>
      <c r="B96" s="2">
        <v>0.0</v>
      </c>
      <c r="C96" s="2"/>
      <c r="J96" s="1" t="s">
        <v>198</v>
      </c>
      <c r="K96" s="2">
        <v>4881.0</v>
      </c>
      <c r="L96" s="2">
        <v>99.0</v>
      </c>
    </row>
    <row r="97" hidden="1">
      <c r="A97" s="1" t="s">
        <v>150</v>
      </c>
      <c r="B97" s="2">
        <v>31.0</v>
      </c>
      <c r="C97" s="2"/>
      <c r="J97" s="1" t="s">
        <v>150</v>
      </c>
      <c r="K97" s="2">
        <v>4880.0</v>
      </c>
      <c r="L97" s="2">
        <v>96.0</v>
      </c>
    </row>
    <row r="98" hidden="1">
      <c r="A98" s="1" t="s">
        <v>118</v>
      </c>
      <c r="B98" s="2">
        <v>51.0</v>
      </c>
      <c r="C98" s="2"/>
      <c r="J98" s="1" t="s">
        <v>118</v>
      </c>
      <c r="K98" s="2">
        <v>4599.0</v>
      </c>
      <c r="L98" s="2">
        <v>93.0</v>
      </c>
    </row>
    <row r="99" hidden="1">
      <c r="A99" s="1" t="s">
        <v>170</v>
      </c>
      <c r="B99" s="2">
        <v>12.0</v>
      </c>
      <c r="C99" s="2"/>
      <c r="J99" s="1" t="s">
        <v>170</v>
      </c>
      <c r="K99" s="2">
        <v>4552.0</v>
      </c>
      <c r="L99" s="2">
        <v>91.0</v>
      </c>
    </row>
    <row r="100" hidden="1">
      <c r="A100" s="1" t="s">
        <v>153</v>
      </c>
      <c r="B100" s="2">
        <v>72.0</v>
      </c>
      <c r="C100" s="2"/>
      <c r="J100" s="1" t="s">
        <v>153</v>
      </c>
      <c r="K100" s="2">
        <v>4548.0</v>
      </c>
      <c r="L100" s="2">
        <v>87.0</v>
      </c>
    </row>
    <row r="101" hidden="1">
      <c r="A101" s="1" t="s">
        <v>127</v>
      </c>
      <c r="B101" s="2">
        <v>64.0</v>
      </c>
      <c r="C101" s="2"/>
      <c r="J101" s="1" t="s">
        <v>127</v>
      </c>
      <c r="K101" s="2">
        <v>4448.0</v>
      </c>
      <c r="L101" s="2">
        <v>80.0</v>
      </c>
    </row>
    <row r="102" hidden="1">
      <c r="A102" s="1" t="s">
        <v>190</v>
      </c>
      <c r="B102" s="2">
        <v>1.0</v>
      </c>
      <c r="C102" s="2"/>
      <c r="J102" s="1" t="s">
        <v>190</v>
      </c>
      <c r="K102" s="2">
        <v>4227.0</v>
      </c>
      <c r="L102" s="2">
        <v>78.0</v>
      </c>
    </row>
    <row r="103" hidden="1">
      <c r="A103" s="1" t="s">
        <v>138</v>
      </c>
      <c r="B103" s="2">
        <v>80.0</v>
      </c>
      <c r="C103" s="2"/>
      <c r="J103" s="1" t="s">
        <v>138</v>
      </c>
      <c r="K103" s="2">
        <v>3882.0</v>
      </c>
      <c r="L103" s="2">
        <v>75.0</v>
      </c>
    </row>
    <row r="104" hidden="1">
      <c r="A104" s="1" t="s">
        <v>108</v>
      </c>
      <c r="B104" s="2">
        <v>112.0</v>
      </c>
      <c r="C104" s="2"/>
      <c r="J104" s="1" t="s">
        <v>108</v>
      </c>
      <c r="K104" s="2">
        <v>3664.0</v>
      </c>
      <c r="L104" s="2">
        <v>72.0</v>
      </c>
    </row>
    <row r="105" hidden="1">
      <c r="A105" s="1" t="s">
        <v>98</v>
      </c>
      <c r="B105" s="2">
        <v>91.0</v>
      </c>
      <c r="C105" s="2"/>
      <c r="J105" s="1" t="s">
        <v>98</v>
      </c>
      <c r="K105" s="2">
        <v>3439.0</v>
      </c>
      <c r="L105" s="2">
        <v>69.0</v>
      </c>
    </row>
    <row r="106" hidden="1">
      <c r="A106" s="1" t="s">
        <v>119</v>
      </c>
      <c r="B106" s="2">
        <v>99.0</v>
      </c>
      <c r="C106" s="2"/>
      <c r="J106" s="1" t="s">
        <v>119</v>
      </c>
      <c r="K106" s="2">
        <v>3369.0</v>
      </c>
      <c r="L106" s="2">
        <v>69.0</v>
      </c>
    </row>
    <row r="107" hidden="1">
      <c r="A107" s="1" t="s">
        <v>100</v>
      </c>
      <c r="B107" s="2">
        <v>124.0</v>
      </c>
      <c r="C107" s="2"/>
      <c r="J107" s="1" t="s">
        <v>100</v>
      </c>
      <c r="K107" s="2">
        <v>3297.0</v>
      </c>
      <c r="L107" s="2">
        <v>66.0</v>
      </c>
    </row>
    <row r="108" hidden="1">
      <c r="A108" s="1" t="s">
        <v>121</v>
      </c>
      <c r="B108" s="2">
        <v>15.0</v>
      </c>
      <c r="C108" s="2"/>
      <c r="J108" s="1" t="s">
        <v>121</v>
      </c>
      <c r="K108" s="2">
        <v>3200.0</v>
      </c>
      <c r="L108" s="2">
        <v>64.0</v>
      </c>
    </row>
    <row r="109" hidden="1">
      <c r="A109" s="1" t="s">
        <v>131</v>
      </c>
      <c r="B109" s="2">
        <v>124.0</v>
      </c>
      <c r="C109" s="2"/>
      <c r="J109" s="1" t="s">
        <v>131</v>
      </c>
      <c r="K109" s="2">
        <v>3196.0</v>
      </c>
      <c r="L109" s="2">
        <v>60.0</v>
      </c>
    </row>
    <row r="110" hidden="1">
      <c r="A110" s="1" t="s">
        <v>166</v>
      </c>
      <c r="B110" s="2">
        <v>9.0</v>
      </c>
      <c r="C110" s="2"/>
      <c r="J110" s="1" t="s">
        <v>166</v>
      </c>
      <c r="K110" s="2">
        <v>3071.0</v>
      </c>
      <c r="L110" s="2">
        <v>59.0</v>
      </c>
    </row>
    <row r="111" hidden="1">
      <c r="A111" s="1" t="s">
        <v>109</v>
      </c>
      <c r="B111" s="2">
        <v>156.0</v>
      </c>
      <c r="C111" s="2"/>
      <c r="J111" s="1" t="s">
        <v>109</v>
      </c>
      <c r="K111" s="2">
        <v>2893.0</v>
      </c>
      <c r="L111" s="2">
        <v>58.0</v>
      </c>
    </row>
    <row r="112" hidden="1">
      <c r="A112" s="1" t="s">
        <v>178</v>
      </c>
      <c r="B112" s="2">
        <v>10.0</v>
      </c>
      <c r="C112" s="2"/>
      <c r="J112" s="1" t="s">
        <v>178</v>
      </c>
      <c r="K112" s="2">
        <v>2827.0</v>
      </c>
      <c r="L112" s="2">
        <v>58.0</v>
      </c>
    </row>
    <row r="113" hidden="1">
      <c r="A113" s="1" t="s">
        <v>20</v>
      </c>
      <c r="B113" s="2">
        <v>44022.0</v>
      </c>
      <c r="C113" s="2"/>
      <c r="J113" s="1" t="s">
        <v>20</v>
      </c>
      <c r="K113" s="2">
        <v>2805.0</v>
      </c>
      <c r="L113" s="2">
        <v>54.0</v>
      </c>
    </row>
    <row r="114" hidden="1">
      <c r="A114" s="1" t="s">
        <v>76</v>
      </c>
      <c r="B114" s="2">
        <v>748.0</v>
      </c>
      <c r="C114" s="2"/>
      <c r="J114" s="1" t="s">
        <v>76</v>
      </c>
      <c r="K114" s="2">
        <v>2704.0</v>
      </c>
      <c r="L114" s="2">
        <v>53.0</v>
      </c>
    </row>
    <row r="115" hidden="1">
      <c r="A115" s="1" t="s">
        <v>185</v>
      </c>
      <c r="B115" s="2">
        <v>4.0</v>
      </c>
      <c r="C115" s="2"/>
      <c r="J115" s="1" t="s">
        <v>185</v>
      </c>
      <c r="K115" s="2">
        <v>2532.0</v>
      </c>
      <c r="L115" s="2">
        <v>52.0</v>
      </c>
    </row>
    <row r="116" hidden="1">
      <c r="A116" s="1" t="s">
        <v>180</v>
      </c>
      <c r="B116" s="2">
        <v>0.0</v>
      </c>
      <c r="C116" s="2"/>
      <c r="J116" s="1" t="s">
        <v>180</v>
      </c>
      <c r="K116" s="2">
        <v>2513.0</v>
      </c>
      <c r="L116" s="2">
        <v>51.0</v>
      </c>
    </row>
    <row r="117" hidden="1">
      <c r="A117" s="1" t="s">
        <v>126</v>
      </c>
      <c r="B117" s="2">
        <v>45.0</v>
      </c>
      <c r="C117" s="2"/>
      <c r="J117" s="1" t="s">
        <v>126</v>
      </c>
      <c r="K117" s="2">
        <v>2328.0</v>
      </c>
      <c r="L117" s="2">
        <v>51.0</v>
      </c>
    </row>
    <row r="118" hidden="1">
      <c r="A118" s="1" t="s">
        <v>78</v>
      </c>
      <c r="B118" s="2">
        <v>316.0</v>
      </c>
      <c r="C118" s="2"/>
      <c r="J118" s="1" t="s">
        <v>78</v>
      </c>
      <c r="K118" s="2">
        <v>2316.0</v>
      </c>
      <c r="L118" s="2">
        <v>50.0</v>
      </c>
    </row>
    <row r="119" hidden="1">
      <c r="A119" s="1" t="s">
        <v>145</v>
      </c>
      <c r="B119" s="2">
        <v>11.0</v>
      </c>
      <c r="C119" s="2"/>
      <c r="J119" s="1" t="s">
        <v>145</v>
      </c>
      <c r="K119" s="2">
        <v>2305.0</v>
      </c>
      <c r="L119" s="2">
        <v>49.0</v>
      </c>
    </row>
    <row r="120" hidden="1">
      <c r="A120" s="1" t="s">
        <v>142</v>
      </c>
      <c r="B120" s="2">
        <v>8.0</v>
      </c>
      <c r="C120" s="2"/>
      <c r="J120" s="1" t="s">
        <v>142</v>
      </c>
      <c r="K120" s="2">
        <v>2181.0</v>
      </c>
      <c r="L120" s="2">
        <v>48.0</v>
      </c>
    </row>
    <row r="121" hidden="1">
      <c r="A121" s="1" t="s">
        <v>80</v>
      </c>
      <c r="B121" s="2">
        <v>48.0</v>
      </c>
      <c r="C121" s="2"/>
      <c r="J121" s="1" t="s">
        <v>80</v>
      </c>
      <c r="K121" s="2">
        <v>2087.0</v>
      </c>
      <c r="L121" s="2">
        <v>46.0</v>
      </c>
    </row>
    <row r="122" hidden="1">
      <c r="A122" s="1" t="s">
        <v>57</v>
      </c>
      <c r="B122" s="2">
        <v>6160.0</v>
      </c>
      <c r="C122" s="2"/>
      <c r="J122" s="1" t="s">
        <v>57</v>
      </c>
      <c r="K122" s="2">
        <v>2034.0</v>
      </c>
      <c r="L122" s="2">
        <v>45.0</v>
      </c>
    </row>
    <row r="123" hidden="1">
      <c r="A123" s="1" t="s">
        <v>147</v>
      </c>
      <c r="B123" s="2">
        <v>22.0</v>
      </c>
      <c r="C123" s="2"/>
      <c r="J123" s="1" t="s">
        <v>147</v>
      </c>
      <c r="K123" s="2">
        <v>2019.0</v>
      </c>
      <c r="L123" s="2">
        <v>45.0</v>
      </c>
    </row>
    <row r="124" hidden="1">
      <c r="A124" s="1" t="s">
        <v>120</v>
      </c>
      <c r="B124" s="2">
        <v>108.0</v>
      </c>
      <c r="C124" s="2"/>
      <c r="J124" s="1" t="s">
        <v>120</v>
      </c>
      <c r="K124" s="2">
        <v>1954.0</v>
      </c>
      <c r="L124" s="2">
        <v>43.0</v>
      </c>
    </row>
    <row r="125" hidden="1">
      <c r="A125" s="1" t="s">
        <v>155</v>
      </c>
      <c r="B125" s="2">
        <v>69.0</v>
      </c>
      <c r="C125" s="2"/>
      <c r="J125" s="1" t="s">
        <v>155</v>
      </c>
      <c r="K125" s="2">
        <v>1879.0</v>
      </c>
      <c r="L125" s="2">
        <v>42.0</v>
      </c>
    </row>
    <row r="126" hidden="1">
      <c r="A126" s="1" t="s">
        <v>63</v>
      </c>
      <c r="B126" s="2">
        <v>860.0</v>
      </c>
      <c r="C126" s="2"/>
      <c r="J126" s="1" t="s">
        <v>63</v>
      </c>
      <c r="K126" s="2">
        <v>1854.0</v>
      </c>
      <c r="L126" s="2">
        <v>41.0</v>
      </c>
    </row>
    <row r="127" hidden="1">
      <c r="A127" s="1" t="s">
        <v>96</v>
      </c>
      <c r="B127" s="2">
        <v>466.0</v>
      </c>
      <c r="C127" s="2"/>
      <c r="J127" s="1" t="s">
        <v>96</v>
      </c>
      <c r="K127" s="2">
        <v>1843.0</v>
      </c>
      <c r="L127" s="2">
        <v>40.0</v>
      </c>
    </row>
    <row r="128" hidden="1">
      <c r="A128" s="1" t="s">
        <v>99</v>
      </c>
      <c r="B128" s="2">
        <v>255.0</v>
      </c>
      <c r="C128" s="2"/>
      <c r="J128" s="1" t="s">
        <v>99</v>
      </c>
      <c r="K128" s="2">
        <v>1783.0</v>
      </c>
      <c r="L128" s="2">
        <v>36.0</v>
      </c>
    </row>
    <row r="129" hidden="1">
      <c r="A129" s="1" t="s">
        <v>47</v>
      </c>
      <c r="B129" s="2">
        <v>393.0</v>
      </c>
      <c r="C129" s="2"/>
      <c r="J129" s="1" t="s">
        <v>47</v>
      </c>
      <c r="K129" s="2">
        <v>1770.0</v>
      </c>
      <c r="L129" s="2">
        <v>35.0</v>
      </c>
    </row>
    <row r="130" hidden="1">
      <c r="A130" s="1" t="s">
        <v>26</v>
      </c>
      <c r="B130" s="2">
        <v>5842.0</v>
      </c>
      <c r="C130" s="2"/>
      <c r="J130" s="1" t="s">
        <v>26</v>
      </c>
      <c r="K130" s="2">
        <v>1701.0</v>
      </c>
      <c r="L130" s="2">
        <v>35.0</v>
      </c>
    </row>
    <row r="131" hidden="1">
      <c r="A131" s="1" t="s">
        <v>55</v>
      </c>
      <c r="B131" s="2">
        <v>1322.0</v>
      </c>
      <c r="C131" s="2"/>
      <c r="J131" s="1" t="s">
        <v>55</v>
      </c>
      <c r="K131" s="2">
        <v>1691.0</v>
      </c>
      <c r="L131" s="2">
        <v>34.0</v>
      </c>
    </row>
    <row r="132" hidden="1">
      <c r="A132" s="1" t="s">
        <v>191</v>
      </c>
      <c r="B132" s="2">
        <v>0.0</v>
      </c>
      <c r="C132" s="2"/>
      <c r="J132" s="1" t="s">
        <v>191</v>
      </c>
      <c r="K132" s="2">
        <v>1557.0</v>
      </c>
      <c r="L132" s="2">
        <v>31.0</v>
      </c>
    </row>
    <row r="133" hidden="1">
      <c r="A133" s="1" t="s">
        <v>115</v>
      </c>
      <c r="B133" s="2">
        <v>43.0</v>
      </c>
      <c r="C133" s="2"/>
      <c r="J133" s="1" t="s">
        <v>115</v>
      </c>
      <c r="K133" s="2">
        <v>1483.0</v>
      </c>
      <c r="L133" s="2">
        <v>28.0</v>
      </c>
    </row>
    <row r="134" hidden="1">
      <c r="A134" s="1" t="s">
        <v>22</v>
      </c>
      <c r="B134" s="2">
        <v>18418.0</v>
      </c>
      <c r="C134" s="2"/>
      <c r="J134" s="1" t="s">
        <v>22</v>
      </c>
      <c r="K134" s="2">
        <v>1455.0</v>
      </c>
      <c r="L134" s="2">
        <v>27.0</v>
      </c>
    </row>
    <row r="135" hidden="1">
      <c r="A135" s="1" t="s">
        <v>44</v>
      </c>
      <c r="B135" s="2">
        <v>1945.0</v>
      </c>
      <c r="C135" s="2"/>
      <c r="J135" s="1" t="s">
        <v>44</v>
      </c>
      <c r="K135" s="2">
        <v>1219.0</v>
      </c>
      <c r="L135" s="2">
        <v>26.0</v>
      </c>
    </row>
    <row r="136" hidden="1">
      <c r="A136" s="1" t="s">
        <v>62</v>
      </c>
      <c r="B136" s="2">
        <v>1676.0</v>
      </c>
      <c r="C136" s="2"/>
      <c r="J136" s="1" t="s">
        <v>62</v>
      </c>
      <c r="K136" s="2">
        <v>1202.0</v>
      </c>
      <c r="L136" s="2">
        <v>24.0</v>
      </c>
    </row>
    <row r="137" hidden="1">
      <c r="A137" s="1" t="s">
        <v>59</v>
      </c>
      <c r="B137" s="2">
        <v>1719.0</v>
      </c>
      <c r="C137" s="2"/>
      <c r="J137" s="1" t="s">
        <v>59</v>
      </c>
      <c r="K137" s="2">
        <v>1176.0</v>
      </c>
      <c r="L137" s="2">
        <v>22.0</v>
      </c>
    </row>
    <row r="138" hidden="1">
      <c r="A138" s="1" t="s">
        <v>39</v>
      </c>
      <c r="B138" s="2">
        <v>165.0</v>
      </c>
      <c r="C138" s="2"/>
      <c r="J138" s="1" t="s">
        <v>39</v>
      </c>
      <c r="K138" s="2">
        <v>1167.0</v>
      </c>
      <c r="L138" s="2">
        <v>22.0</v>
      </c>
    </row>
    <row r="139" hidden="1">
      <c r="A139" s="1" t="s">
        <v>60</v>
      </c>
      <c r="B139" s="2">
        <v>2206.0</v>
      </c>
      <c r="C139" s="2"/>
      <c r="J139" s="1" t="s">
        <v>60</v>
      </c>
      <c r="K139" s="2">
        <v>1137.0</v>
      </c>
      <c r="L139" s="2">
        <v>21.0</v>
      </c>
    </row>
    <row r="140" hidden="1">
      <c r="A140" s="1" t="s">
        <v>18</v>
      </c>
      <c r="B140" s="2">
        <v>13334.0</v>
      </c>
      <c r="C140" s="2"/>
      <c r="J140" s="1" t="s">
        <v>18</v>
      </c>
      <c r="K140" s="2">
        <v>1132.0</v>
      </c>
      <c r="L140" s="2">
        <v>20.0</v>
      </c>
    </row>
    <row r="141" hidden="1">
      <c r="A141" s="1" t="s">
        <v>140</v>
      </c>
      <c r="B141" s="2">
        <v>5.0</v>
      </c>
      <c r="C141" s="2"/>
      <c r="J141" s="1" t="s">
        <v>140</v>
      </c>
      <c r="K141" s="2">
        <v>1128.0</v>
      </c>
      <c r="L141" s="2">
        <v>19.0</v>
      </c>
    </row>
    <row r="142" hidden="1">
      <c r="A142" s="1" t="s">
        <v>200</v>
      </c>
      <c r="B142" s="2">
        <v>0.0</v>
      </c>
      <c r="C142" s="2"/>
      <c r="J142" s="1" t="s">
        <v>200</v>
      </c>
      <c r="K142" s="2">
        <v>1100.0</v>
      </c>
      <c r="L142" s="2">
        <v>18.0</v>
      </c>
    </row>
    <row r="143" hidden="1">
      <c r="A143" s="1" t="s">
        <v>195</v>
      </c>
      <c r="B143" s="2">
        <v>0.0</v>
      </c>
      <c r="C143" s="2"/>
      <c r="J143" s="1" t="s">
        <v>195</v>
      </c>
      <c r="K143" s="2">
        <v>1060.0</v>
      </c>
      <c r="L143" s="2">
        <v>16.0</v>
      </c>
    </row>
    <row r="144" hidden="1">
      <c r="A144" s="1" t="s">
        <v>192</v>
      </c>
      <c r="B144" s="2">
        <v>0.0</v>
      </c>
      <c r="C144" s="2"/>
      <c r="J144" s="1" t="s">
        <v>192</v>
      </c>
      <c r="K144" s="2">
        <v>950.0</v>
      </c>
      <c r="L144" s="2">
        <v>15.0</v>
      </c>
    </row>
    <row r="145" hidden="1">
      <c r="A145" s="1" t="s">
        <v>167</v>
      </c>
      <c r="B145" s="2">
        <v>42.0</v>
      </c>
      <c r="C145" s="2"/>
      <c r="J145" s="1" t="s">
        <v>167</v>
      </c>
      <c r="K145" s="2">
        <v>922.0</v>
      </c>
      <c r="L145" s="2">
        <v>14.0</v>
      </c>
    </row>
    <row r="146" hidden="1">
      <c r="A146" s="1" t="s">
        <v>163</v>
      </c>
      <c r="B146" s="2">
        <v>14.0</v>
      </c>
      <c r="C146" s="2"/>
      <c r="J146" s="1" t="s">
        <v>163</v>
      </c>
      <c r="K146" s="2">
        <v>907.0</v>
      </c>
      <c r="L146" s="2">
        <v>12.0</v>
      </c>
    </row>
    <row r="147" hidden="1">
      <c r="A147" s="1" t="s">
        <v>28</v>
      </c>
      <c r="B147" s="2">
        <v>2760.0</v>
      </c>
      <c r="C147" s="2"/>
      <c r="J147" s="1" t="s">
        <v>28</v>
      </c>
      <c r="K147" s="2">
        <v>874.0</v>
      </c>
      <c r="L147" s="2">
        <v>11.0</v>
      </c>
    </row>
    <row r="148" hidden="1">
      <c r="A148" s="1" t="s">
        <v>97</v>
      </c>
      <c r="B148" s="2">
        <v>194.0</v>
      </c>
      <c r="C148" s="2"/>
      <c r="J148" s="1" t="s">
        <v>97</v>
      </c>
      <c r="K148" s="2">
        <v>865.0</v>
      </c>
      <c r="L148" s="2">
        <v>11.0</v>
      </c>
    </row>
    <row r="149" hidden="1">
      <c r="A149" s="1" t="s">
        <v>75</v>
      </c>
      <c r="B149" s="2">
        <v>543.0</v>
      </c>
      <c r="C149" s="2"/>
      <c r="J149" s="1" t="s">
        <v>75</v>
      </c>
      <c r="K149" s="2">
        <v>853.0</v>
      </c>
      <c r="L149" s="2">
        <v>11.0</v>
      </c>
    </row>
    <row r="150" hidden="1">
      <c r="A150" s="1" t="s">
        <v>186</v>
      </c>
      <c r="B150" s="2">
        <v>0.0</v>
      </c>
      <c r="C150" s="2"/>
      <c r="J150" s="1" t="s">
        <v>186</v>
      </c>
      <c r="K150" s="2">
        <v>739.0</v>
      </c>
      <c r="L150" s="2">
        <v>11.0</v>
      </c>
    </row>
    <row r="151" hidden="1">
      <c r="A151" s="1" t="s">
        <v>143</v>
      </c>
      <c r="B151" s="2">
        <v>66.0</v>
      </c>
      <c r="C151" s="2"/>
      <c r="J151" s="1" t="s">
        <v>143</v>
      </c>
      <c r="K151" s="2">
        <v>701.0</v>
      </c>
      <c r="L151" s="2">
        <v>10.0</v>
      </c>
    </row>
    <row r="152" hidden="1">
      <c r="A152" s="1" t="s">
        <v>58</v>
      </c>
      <c r="B152" s="2">
        <v>27.0</v>
      </c>
      <c r="C152" s="2"/>
      <c r="J152" s="1" t="s">
        <v>58</v>
      </c>
      <c r="K152" s="2">
        <v>699.0</v>
      </c>
      <c r="L152" s="2">
        <v>10.0</v>
      </c>
    </row>
    <row r="153" hidden="1">
      <c r="A153" s="1" t="s">
        <v>135</v>
      </c>
      <c r="B153" s="2">
        <v>28.0</v>
      </c>
      <c r="C153" s="2"/>
      <c r="J153" s="1" t="s">
        <v>135</v>
      </c>
      <c r="K153" s="2">
        <v>674.0</v>
      </c>
      <c r="L153" s="2">
        <v>10.0</v>
      </c>
    </row>
    <row r="154" hidden="1">
      <c r="A154" s="1" t="s">
        <v>136</v>
      </c>
      <c r="B154" s="2">
        <v>116.0</v>
      </c>
      <c r="C154" s="2"/>
      <c r="J154" s="1" t="s">
        <v>136</v>
      </c>
      <c r="K154" s="2">
        <v>509.0</v>
      </c>
      <c r="L154" s="2">
        <v>9.0</v>
      </c>
    </row>
    <row r="155" hidden="1">
      <c r="A155" s="1" t="s">
        <v>124</v>
      </c>
      <c r="B155" s="2">
        <v>93.0</v>
      </c>
      <c r="C155" s="2"/>
      <c r="J155" s="1" t="s">
        <v>124</v>
      </c>
      <c r="K155" s="2">
        <v>505.0</v>
      </c>
      <c r="L155" s="2">
        <v>8.0</v>
      </c>
    </row>
    <row r="156" hidden="1">
      <c r="A156" s="1" t="s">
        <v>19</v>
      </c>
      <c r="B156" s="2">
        <v>7067.0</v>
      </c>
      <c r="C156" s="2"/>
      <c r="J156" s="1" t="s">
        <v>19</v>
      </c>
      <c r="K156" s="2">
        <v>462.0</v>
      </c>
      <c r="L156" s="2">
        <v>8.0</v>
      </c>
    </row>
    <row r="157" hidden="1">
      <c r="A157" s="1" t="s">
        <v>90</v>
      </c>
      <c r="B157" s="2">
        <v>300.0</v>
      </c>
      <c r="C157" s="2"/>
      <c r="J157" s="1" t="s">
        <v>90</v>
      </c>
      <c r="K157" s="2">
        <v>431.0</v>
      </c>
      <c r="L157" s="2">
        <v>8.0</v>
      </c>
    </row>
    <row r="158" hidden="1">
      <c r="A158" s="1" t="s">
        <v>134</v>
      </c>
      <c r="B158" s="2">
        <v>46.0</v>
      </c>
      <c r="C158" s="2"/>
      <c r="J158" s="1" t="s">
        <v>134</v>
      </c>
      <c r="K158" s="2">
        <v>389.0</v>
      </c>
      <c r="L158" s="2">
        <v>7.0</v>
      </c>
    </row>
    <row r="159" hidden="1">
      <c r="A159" s="1" t="s">
        <v>27</v>
      </c>
      <c r="B159" s="2">
        <v>28432.0</v>
      </c>
      <c r="C159" s="2"/>
      <c r="J159" s="1" t="s">
        <v>27</v>
      </c>
      <c r="K159" s="2">
        <v>382.0</v>
      </c>
      <c r="L159" s="2">
        <v>7.0</v>
      </c>
    </row>
    <row r="160" hidden="1">
      <c r="A160" s="1" t="s">
        <v>128</v>
      </c>
      <c r="B160" s="2">
        <v>11.0</v>
      </c>
      <c r="C160" s="2"/>
      <c r="J160" s="1" t="s">
        <v>128</v>
      </c>
      <c r="K160" s="2">
        <v>378.0</v>
      </c>
      <c r="L160" s="2">
        <v>7.0</v>
      </c>
    </row>
    <row r="161" hidden="1">
      <c r="A161" s="1" t="s">
        <v>92</v>
      </c>
      <c r="B161" s="2">
        <v>720.0</v>
      </c>
      <c r="C161" s="2"/>
      <c r="J161" s="1" t="s">
        <v>92</v>
      </c>
      <c r="K161" s="2">
        <v>354.0</v>
      </c>
      <c r="L161" s="2">
        <v>6.0</v>
      </c>
    </row>
    <row r="162" hidden="1">
      <c r="A162" s="1" t="s">
        <v>148</v>
      </c>
      <c r="B162" s="2">
        <v>24.0</v>
      </c>
      <c r="C162" s="2"/>
      <c r="J162" s="1" t="s">
        <v>148</v>
      </c>
      <c r="K162" s="2">
        <v>350.0</v>
      </c>
      <c r="L162" s="2">
        <v>5.0</v>
      </c>
    </row>
    <row r="163" hidden="1">
      <c r="A163" s="1" t="s">
        <v>46</v>
      </c>
      <c r="B163" s="2">
        <v>5700.0</v>
      </c>
      <c r="C163" s="2"/>
      <c r="J163" s="1" t="s">
        <v>46</v>
      </c>
      <c r="K163" s="2">
        <v>344.0</v>
      </c>
      <c r="L163" s="2">
        <v>4.0</v>
      </c>
    </row>
    <row r="164" hidden="1">
      <c r="A164" s="1" t="s">
        <v>68</v>
      </c>
      <c r="B164" s="2">
        <v>1978.0</v>
      </c>
      <c r="C164" s="2"/>
      <c r="J164" s="1" t="s">
        <v>68</v>
      </c>
      <c r="K164" s="2">
        <v>326.0</v>
      </c>
      <c r="L164" s="2">
        <v>3.0</v>
      </c>
    </row>
    <row r="165" hidden="1">
      <c r="A165" s="1" t="s">
        <v>168</v>
      </c>
      <c r="B165" s="2">
        <v>40.0</v>
      </c>
      <c r="C165" s="2"/>
      <c r="J165" s="1" t="s">
        <v>168</v>
      </c>
      <c r="K165" s="2">
        <v>289.0</v>
      </c>
      <c r="L165" s="2">
        <v>3.0</v>
      </c>
    </row>
    <row r="166" hidden="1">
      <c r="A166" s="1" t="s">
        <v>171</v>
      </c>
      <c r="B166" s="2">
        <v>7.0</v>
      </c>
      <c r="C166" s="2"/>
      <c r="J166" s="1" t="s">
        <v>171</v>
      </c>
      <c r="K166" s="2">
        <v>265.0</v>
      </c>
      <c r="L166" s="2">
        <v>2.0</v>
      </c>
    </row>
    <row r="167" hidden="1">
      <c r="A167" s="1" t="s">
        <v>105</v>
      </c>
      <c r="B167" s="2">
        <v>60.0</v>
      </c>
      <c r="C167" s="2"/>
      <c r="J167" s="1" t="s">
        <v>105</v>
      </c>
      <c r="K167" s="2">
        <v>226.0</v>
      </c>
      <c r="L167" s="2">
        <v>2.0</v>
      </c>
    </row>
    <row r="168" hidden="1">
      <c r="A168" s="1" t="s">
        <v>169</v>
      </c>
      <c r="B168" s="2">
        <v>21.0</v>
      </c>
      <c r="C168" s="2"/>
      <c r="J168" s="1" t="s">
        <v>169</v>
      </c>
      <c r="K168" s="2">
        <v>148.0</v>
      </c>
      <c r="L168" s="2">
        <v>2.0</v>
      </c>
    </row>
    <row r="169" hidden="1">
      <c r="A169" s="1" t="s">
        <v>122</v>
      </c>
      <c r="B169" s="2">
        <v>58.0</v>
      </c>
      <c r="C169" s="2"/>
      <c r="J169" s="1" t="s">
        <v>122</v>
      </c>
      <c r="K169" s="2">
        <v>141.0</v>
      </c>
      <c r="L169" s="2">
        <v>1.0</v>
      </c>
    </row>
    <row r="170" hidden="1">
      <c r="A170" s="1" t="s">
        <v>196</v>
      </c>
      <c r="B170" s="2">
        <v>0.0</v>
      </c>
      <c r="C170" s="2"/>
      <c r="J170" s="1" t="s">
        <v>196</v>
      </c>
      <c r="K170" s="2">
        <v>116.0</v>
      </c>
      <c r="L170" s="2">
        <v>1.0</v>
      </c>
    </row>
    <row r="171" hidden="1">
      <c r="A171" s="1" t="s">
        <v>162</v>
      </c>
      <c r="B171" s="2">
        <v>18.0</v>
      </c>
      <c r="C171" s="2"/>
      <c r="J171" s="1" t="s">
        <v>162</v>
      </c>
      <c r="K171" s="2">
        <v>114.0</v>
      </c>
      <c r="L171" s="2">
        <v>1.0</v>
      </c>
    </row>
    <row r="172" hidden="1">
      <c r="A172" s="1" t="s">
        <v>183</v>
      </c>
      <c r="B172" s="2">
        <v>8.0</v>
      </c>
      <c r="C172" s="2"/>
      <c r="J172" s="1" t="s">
        <v>183</v>
      </c>
      <c r="K172" s="2">
        <v>110.0</v>
      </c>
      <c r="L172" s="2">
        <v>0.0</v>
      </c>
    </row>
    <row r="173" hidden="1">
      <c r="A173" s="1" t="s">
        <v>149</v>
      </c>
      <c r="B173" s="2">
        <v>50.0</v>
      </c>
      <c r="C173" s="2"/>
      <c r="J173" s="1" t="s">
        <v>149</v>
      </c>
      <c r="K173" s="2">
        <v>99.0</v>
      </c>
      <c r="L173" s="2">
        <v>0.0</v>
      </c>
    </row>
    <row r="174" hidden="1">
      <c r="A174" s="1" t="s">
        <v>31</v>
      </c>
      <c r="B174" s="2">
        <v>5630.0</v>
      </c>
      <c r="C174" s="2"/>
      <c r="J174" s="1" t="s">
        <v>31</v>
      </c>
      <c r="K174" s="2">
        <v>86.0</v>
      </c>
      <c r="L174" s="2">
        <v>0.0</v>
      </c>
    </row>
    <row r="175" hidden="1">
      <c r="A175" s="1" t="s">
        <v>14</v>
      </c>
      <c r="B175" s="2">
        <v>148011.0</v>
      </c>
      <c r="C175" s="2"/>
      <c r="J175" s="1" t="s">
        <v>14</v>
      </c>
      <c r="K175" s="2">
        <v>86.0</v>
      </c>
      <c r="L175" s="2">
        <v>0.0</v>
      </c>
    </row>
    <row r="176" hidden="1">
      <c r="A176" s="1" t="s">
        <v>156</v>
      </c>
      <c r="B176" s="2">
        <v>2.0</v>
      </c>
      <c r="C176" s="2"/>
      <c r="J176" s="1" t="s">
        <v>156</v>
      </c>
      <c r="K176" s="2">
        <v>62.0</v>
      </c>
      <c r="L176" s="2">
        <v>0.0</v>
      </c>
    </row>
    <row r="177" hidden="1">
      <c r="A177" s="1" t="s">
        <v>50</v>
      </c>
      <c r="B177" s="2">
        <v>1636.0</v>
      </c>
      <c r="C177" s="2"/>
      <c r="J177" s="1" t="s">
        <v>50</v>
      </c>
      <c r="K177" s="2">
        <v>52.0</v>
      </c>
      <c r="L177" s="2">
        <v>0.0</v>
      </c>
    </row>
    <row r="178" hidden="1">
      <c r="A178" s="1" t="s">
        <v>56</v>
      </c>
      <c r="B178" s="2">
        <v>345.0</v>
      </c>
      <c r="C178" s="2"/>
      <c r="J178" s="1" t="s">
        <v>56</v>
      </c>
      <c r="K178" s="2">
        <v>48.0</v>
      </c>
      <c r="L178" s="2">
        <v>0.0</v>
      </c>
    </row>
    <row r="179" hidden="1">
      <c r="A179" s="1" t="s">
        <v>24</v>
      </c>
      <c r="B179" s="2">
        <v>45844.0</v>
      </c>
      <c r="C179" s="2"/>
      <c r="J179" s="1" t="s">
        <v>24</v>
      </c>
      <c r="K179" s="2">
        <v>27.0</v>
      </c>
      <c r="L179" s="2">
        <v>0.0</v>
      </c>
    </row>
    <row r="180" hidden="1">
      <c r="A180" s="1" t="s">
        <v>151</v>
      </c>
      <c r="B180" s="2">
        <v>35.0</v>
      </c>
      <c r="C180" s="2"/>
      <c r="J180" s="1" t="s">
        <v>151</v>
      </c>
      <c r="K180" s="2">
        <v>24.0</v>
      </c>
      <c r="L180" s="2">
        <v>0.0</v>
      </c>
    </row>
    <row r="181" hidden="1">
      <c r="A181" s="1" t="s">
        <v>77</v>
      </c>
      <c r="B181" s="2">
        <v>121.0</v>
      </c>
      <c r="C181" s="2"/>
      <c r="J181" s="1" t="s">
        <v>77</v>
      </c>
      <c r="K181" s="2">
        <v>24.0</v>
      </c>
      <c r="L181" s="2">
        <v>0.0</v>
      </c>
    </row>
    <row r="182" hidden="1">
      <c r="A182" s="1" t="s">
        <v>83</v>
      </c>
      <c r="B182" s="2">
        <v>146.0</v>
      </c>
      <c r="C182" s="2"/>
      <c r="J182" s="1" t="s">
        <v>83</v>
      </c>
      <c r="K182" s="2">
        <v>23.0</v>
      </c>
      <c r="L182" s="2">
        <v>0.0</v>
      </c>
    </row>
    <row r="183" hidden="1">
      <c r="A183" s="1" t="s">
        <v>172</v>
      </c>
      <c r="B183" s="2">
        <v>0.0</v>
      </c>
      <c r="C183" s="2"/>
      <c r="J183" s="1" t="s">
        <v>172</v>
      </c>
      <c r="K183" s="2">
        <v>20.0</v>
      </c>
      <c r="L183" s="2">
        <v>0.0</v>
      </c>
    </row>
    <row r="184" hidden="1">
      <c r="A184" s="1" t="s">
        <v>94</v>
      </c>
      <c r="B184" s="2">
        <v>78.0</v>
      </c>
      <c r="C184" s="2"/>
      <c r="J184" s="1" t="s">
        <v>94</v>
      </c>
      <c r="K184" s="2">
        <v>18.0</v>
      </c>
      <c r="L184" s="2">
        <v>0.0</v>
      </c>
    </row>
    <row r="185" hidden="1">
      <c r="A185" s="1" t="s">
        <v>203</v>
      </c>
      <c r="B185" s="2">
        <v>1.0</v>
      </c>
      <c r="C185" s="2"/>
      <c r="J185" s="1" t="s">
        <v>203</v>
      </c>
      <c r="K185" s="2">
        <v>17.0</v>
      </c>
      <c r="L185" s="2">
        <v>0.0</v>
      </c>
    </row>
    <row r="186" hidden="1">
      <c r="A186" s="1" t="s">
        <v>146</v>
      </c>
      <c r="B186" s="2">
        <v>483.0</v>
      </c>
      <c r="C186" s="2"/>
      <c r="J186" s="1" t="s">
        <v>146</v>
      </c>
      <c r="K186" s="2">
        <v>14.0</v>
      </c>
      <c r="L186" s="2">
        <v>0.0</v>
      </c>
    </row>
    <row r="187" hidden="1">
      <c r="A187" s="1" t="s">
        <v>114</v>
      </c>
      <c r="B187" s="2">
        <v>140.0</v>
      </c>
      <c r="C187" s="2"/>
      <c r="J187" s="1" t="s">
        <v>114</v>
      </c>
      <c r="K187" s="2">
        <v>12.0</v>
      </c>
      <c r="L187" s="2">
        <v>0.0</v>
      </c>
    </row>
    <row r="188" hidden="1">
      <c r="A188" s="1" t="s">
        <v>129</v>
      </c>
      <c r="B188" s="2">
        <v>36.0</v>
      </c>
      <c r="C188" s="2"/>
      <c r="J188" s="1" t="s">
        <v>129</v>
      </c>
      <c r="K188" s="2">
        <v>10.0</v>
      </c>
      <c r="L188" s="2">
        <v>0.0</v>
      </c>
    </row>
    <row r="192">
      <c r="A192" s="6" t="s">
        <v>0</v>
      </c>
      <c r="B192" s="6" t="s">
        <v>1</v>
      </c>
      <c r="C192" s="6" t="s">
        <v>2</v>
      </c>
      <c r="D192" s="6" t="s">
        <v>3</v>
      </c>
    </row>
    <row r="193">
      <c r="A193" s="7" t="s">
        <v>14</v>
      </c>
      <c r="B193" s="8">
        <v>4290259.0</v>
      </c>
      <c r="C193" s="8">
        <v>148011.0</v>
      </c>
      <c r="D193" s="8">
        <v>1325804.0</v>
      </c>
    </row>
    <row r="194">
      <c r="A194" s="7" t="s">
        <v>16</v>
      </c>
      <c r="B194" s="8">
        <v>2442375.0</v>
      </c>
      <c r="C194" s="8">
        <v>87618.0</v>
      </c>
      <c r="D194" s="8">
        <v>1846641.0</v>
      </c>
    </row>
    <row r="195">
      <c r="A195" s="7" t="s">
        <v>17</v>
      </c>
      <c r="B195" s="8">
        <v>1480073.0</v>
      </c>
      <c r="C195" s="8">
        <v>33408.0</v>
      </c>
      <c r="D195" s="8">
        <v>951166.0</v>
      </c>
    </row>
    <row r="196">
      <c r="A196" s="7" t="s">
        <v>18</v>
      </c>
      <c r="B196" s="8">
        <v>816680.0</v>
      </c>
      <c r="C196" s="8">
        <v>13334.0</v>
      </c>
      <c r="D196" s="8">
        <v>602249.0</v>
      </c>
    </row>
    <row r="197">
      <c r="A197" s="7" t="s">
        <v>19</v>
      </c>
      <c r="B197" s="8">
        <v>452529.0</v>
      </c>
      <c r="C197" s="8">
        <v>7067.0</v>
      </c>
      <c r="D197" s="8">
        <v>274925.0</v>
      </c>
    </row>
    <row r="198">
      <c r="A198" s="7" t="s">
        <v>20</v>
      </c>
      <c r="B198" s="8">
        <v>395489.0</v>
      </c>
      <c r="C198" s="8">
        <v>44022.0</v>
      </c>
      <c r="D198" s="8">
        <v>303810.0</v>
      </c>
    </row>
    <row r="199">
      <c r="A199" s="7" t="s">
        <v>22</v>
      </c>
      <c r="B199" s="8">
        <v>389717.0</v>
      </c>
      <c r="C199" s="8">
        <v>18418.0</v>
      </c>
      <c r="D199" s="8">
        <v>272547.0</v>
      </c>
    </row>
    <row r="200">
      <c r="A200" s="7" t="s">
        <v>23</v>
      </c>
      <c r="B200" s="8">
        <v>347923.0</v>
      </c>
      <c r="C200" s="8">
        <v>9187.0</v>
      </c>
      <c r="D200" s="8">
        <v>319954.0</v>
      </c>
    </row>
    <row r="201">
      <c r="A201" s="7" t="s">
        <v>24</v>
      </c>
      <c r="B201" s="8">
        <v>301708.0</v>
      </c>
      <c r="C201" s="8">
        <v>45844.0</v>
      </c>
      <c r="D201" s="8">
        <v>1437.0</v>
      </c>
    </row>
    <row r="202">
      <c r="A202" s="7" t="s">
        <v>25</v>
      </c>
      <c r="B202" s="8">
        <v>293606.0</v>
      </c>
      <c r="C202" s="8">
        <v>15912.0</v>
      </c>
      <c r="D202" s="8">
        <v>255144.0</v>
      </c>
    </row>
    <row r="203">
      <c r="A203" s="7" t="s">
        <v>26</v>
      </c>
      <c r="B203" s="8">
        <v>274289.0</v>
      </c>
      <c r="C203" s="8">
        <v>5842.0</v>
      </c>
      <c r="D203" s="8">
        <v>241026.0</v>
      </c>
    </row>
    <row r="204">
      <c r="A204" s="7" t="s">
        <v>27</v>
      </c>
      <c r="B204" s="8">
        <v>272421.0</v>
      </c>
      <c r="C204" s="8">
        <v>28432.0</v>
      </c>
      <c r="D204" s="8">
        <v>150376.0</v>
      </c>
    </row>
    <row r="205">
      <c r="A205" s="7" t="s">
        <v>28</v>
      </c>
      <c r="B205" s="8">
        <v>268934.0</v>
      </c>
      <c r="C205" s="8">
        <v>2760.0</v>
      </c>
      <c r="D205" s="8">
        <v>222936.0</v>
      </c>
    </row>
    <row r="206">
      <c r="A206" s="7" t="s">
        <v>29</v>
      </c>
      <c r="B206" s="8">
        <v>257101.0</v>
      </c>
      <c r="C206" s="8">
        <v>8777.0</v>
      </c>
      <c r="D206" s="8">
        <v>131161.0</v>
      </c>
    </row>
    <row r="207">
      <c r="A207" s="7" t="s">
        <v>30</v>
      </c>
      <c r="B207" s="8">
        <v>246286.0</v>
      </c>
      <c r="C207" s="8">
        <v>35112.0</v>
      </c>
      <c r="D207" s="8">
        <v>198593.0</v>
      </c>
    </row>
    <row r="208">
      <c r="A208" s="9"/>
      <c r="B208" s="9"/>
      <c r="C208" s="9"/>
      <c r="D208" s="9"/>
    </row>
    <row r="209">
      <c r="A209" s="9"/>
      <c r="B209" s="9"/>
      <c r="C209" s="9"/>
      <c r="D209" s="9"/>
    </row>
    <row r="210">
      <c r="A210" s="9"/>
      <c r="B210" s="9"/>
      <c r="C210" s="9"/>
      <c r="D210" s="9"/>
    </row>
    <row r="211">
      <c r="A211" s="9"/>
      <c r="B211" s="9"/>
      <c r="C211" s="9"/>
      <c r="D211" s="9"/>
    </row>
    <row r="212">
      <c r="A212" s="9"/>
      <c r="B212" s="9"/>
      <c r="C212" s="9"/>
      <c r="D212" s="9"/>
    </row>
    <row r="213">
      <c r="A213" s="6" t="s">
        <v>0</v>
      </c>
      <c r="B213" s="6" t="s">
        <v>12</v>
      </c>
      <c r="C213" s="9"/>
      <c r="D213" s="9"/>
      <c r="K213" s="6" t="s">
        <v>0</v>
      </c>
      <c r="L213" s="6" t="s">
        <v>1</v>
      </c>
      <c r="M213" s="6" t="s">
        <v>13</v>
      </c>
    </row>
    <row r="214">
      <c r="A214" s="7" t="s">
        <v>14</v>
      </c>
      <c r="B214" s="8">
        <v>11.16</v>
      </c>
      <c r="C214" s="9"/>
      <c r="D214" s="9"/>
      <c r="K214" s="7" t="s">
        <v>14</v>
      </c>
      <c r="L214" s="8">
        <v>4290259.0</v>
      </c>
      <c r="M214" s="8">
        <v>3834677.0</v>
      </c>
    </row>
    <row r="215">
      <c r="A215" s="7" t="s">
        <v>16</v>
      </c>
      <c r="B215" s="8">
        <v>4.74</v>
      </c>
      <c r="C215" s="9"/>
      <c r="D215" s="9"/>
      <c r="K215" s="7" t="s">
        <v>16</v>
      </c>
      <c r="L215" s="8">
        <v>2442375.0</v>
      </c>
      <c r="M215" s="8">
        <v>2118646.0</v>
      </c>
    </row>
    <row r="216">
      <c r="A216" s="7" t="s">
        <v>17</v>
      </c>
      <c r="B216" s="8">
        <v>3.51</v>
      </c>
      <c r="C216" s="9"/>
      <c r="D216" s="9"/>
      <c r="K216" s="7" t="s">
        <v>17</v>
      </c>
      <c r="L216" s="8">
        <v>1480073.0</v>
      </c>
      <c r="M216" s="8">
        <v>1155338.0</v>
      </c>
    </row>
    <row r="217">
      <c r="A217" s="7" t="s">
        <v>18</v>
      </c>
      <c r="B217" s="8">
        <v>2.21</v>
      </c>
      <c r="C217" s="9"/>
      <c r="D217" s="9"/>
      <c r="K217" s="7" t="s">
        <v>18</v>
      </c>
      <c r="L217" s="8">
        <v>816680.0</v>
      </c>
      <c r="M217" s="8">
        <v>776212.0</v>
      </c>
    </row>
    <row r="218">
      <c r="A218" s="7" t="s">
        <v>19</v>
      </c>
      <c r="B218" s="8">
        <v>2.57</v>
      </c>
      <c r="C218" s="9"/>
      <c r="D218" s="9"/>
      <c r="K218" s="7" t="s">
        <v>19</v>
      </c>
      <c r="L218" s="8">
        <v>452529.0</v>
      </c>
      <c r="M218" s="8">
        <v>373628.0</v>
      </c>
    </row>
    <row r="219">
      <c r="A219" s="7" t="s">
        <v>20</v>
      </c>
      <c r="B219" s="8">
        <v>14.49</v>
      </c>
      <c r="C219" s="9"/>
      <c r="D219" s="9"/>
      <c r="K219" s="7" t="s">
        <v>20</v>
      </c>
      <c r="L219" s="8">
        <v>395489.0</v>
      </c>
      <c r="M219" s="8">
        <v>349396.0</v>
      </c>
    </row>
    <row r="220">
      <c r="A220" s="7" t="s">
        <v>22</v>
      </c>
      <c r="B220" s="8">
        <v>6.76</v>
      </c>
      <c r="C220" s="9"/>
      <c r="D220" s="9"/>
      <c r="K220" s="7" t="s">
        <v>22</v>
      </c>
      <c r="L220" s="8">
        <v>389717.0</v>
      </c>
      <c r="M220" s="8">
        <v>357681.0</v>
      </c>
    </row>
    <row r="221">
      <c r="A221" s="7" t="s">
        <v>23</v>
      </c>
      <c r="B221" s="8">
        <v>2.87</v>
      </c>
      <c r="C221" s="9"/>
      <c r="D221" s="9"/>
      <c r="K221" s="7" t="s">
        <v>23</v>
      </c>
      <c r="L221" s="8">
        <v>347923.0</v>
      </c>
      <c r="M221" s="8">
        <v>333029.0</v>
      </c>
    </row>
    <row r="222">
      <c r="A222" s="7" t="s">
        <v>24</v>
      </c>
      <c r="B222" s="8">
        <v>3190.26</v>
      </c>
      <c r="C222" s="9"/>
      <c r="D222" s="9"/>
      <c r="K222" s="7" t="s">
        <v>24</v>
      </c>
      <c r="L222" s="8">
        <v>301708.0</v>
      </c>
      <c r="M222" s="8">
        <v>296944.0</v>
      </c>
    </row>
    <row r="223">
      <c r="A223" s="7" t="s">
        <v>25</v>
      </c>
      <c r="B223" s="8">
        <v>6.24</v>
      </c>
      <c r="C223" s="9"/>
      <c r="D223" s="9"/>
      <c r="K223" s="7" t="s">
        <v>25</v>
      </c>
      <c r="L223" s="8">
        <v>293606.0</v>
      </c>
      <c r="M223" s="8">
        <v>276202.0</v>
      </c>
    </row>
    <row r="224">
      <c r="A224" s="7" t="s">
        <v>26</v>
      </c>
      <c r="B224" s="8">
        <v>2.42</v>
      </c>
      <c r="C224" s="9"/>
      <c r="D224" s="9"/>
      <c r="K224" s="7" t="s">
        <v>26</v>
      </c>
      <c r="L224" s="8">
        <v>274289.0</v>
      </c>
      <c r="M224" s="8">
        <v>266096.0</v>
      </c>
    </row>
    <row r="225">
      <c r="A225" s="7" t="s">
        <v>27</v>
      </c>
      <c r="B225" s="8">
        <v>18.91</v>
      </c>
      <c r="C225" s="9"/>
      <c r="D225" s="9"/>
      <c r="K225" s="7" t="s">
        <v>27</v>
      </c>
      <c r="L225" s="8">
        <v>272421.0</v>
      </c>
      <c r="M225" s="8">
        <v>264836.0</v>
      </c>
    </row>
    <row r="226">
      <c r="A226" s="7" t="s">
        <v>28</v>
      </c>
      <c r="B226" s="8">
        <v>1.24</v>
      </c>
      <c r="C226" s="9"/>
      <c r="D226" s="9"/>
      <c r="K226" s="7" t="s">
        <v>28</v>
      </c>
      <c r="L226" s="8">
        <v>268934.0</v>
      </c>
      <c r="M226" s="8">
        <v>253349.0</v>
      </c>
    </row>
    <row r="227">
      <c r="A227" s="7" t="s">
        <v>29</v>
      </c>
      <c r="B227" s="8">
        <v>6.69</v>
      </c>
      <c r="C227" s="9"/>
      <c r="D227" s="9"/>
      <c r="K227" s="7" t="s">
        <v>29</v>
      </c>
      <c r="L227" s="8">
        <v>257101.0</v>
      </c>
      <c r="M227" s="8">
        <v>204005.0</v>
      </c>
    </row>
    <row r="228">
      <c r="A228" s="7" t="s">
        <v>30</v>
      </c>
      <c r="B228" s="8">
        <v>17.68</v>
      </c>
      <c r="C228" s="9"/>
      <c r="D228" s="9"/>
      <c r="K228" s="7" t="s">
        <v>30</v>
      </c>
      <c r="L228" s="8">
        <v>246286.0</v>
      </c>
      <c r="M228" s="8">
        <v>244624.0</v>
      </c>
    </row>
    <row r="229">
      <c r="A229" s="9"/>
      <c r="B229" s="9"/>
      <c r="C229" s="9"/>
      <c r="D229" s="9"/>
      <c r="L229" s="9"/>
      <c r="M229" s="9"/>
    </row>
    <row r="230">
      <c r="A230" s="9"/>
      <c r="B230" s="9"/>
      <c r="C230" s="9"/>
      <c r="D230" s="9"/>
      <c r="L230" s="9"/>
      <c r="M230" s="9"/>
    </row>
    <row r="231">
      <c r="A231" s="9"/>
      <c r="B231" s="9"/>
      <c r="C231" s="9"/>
      <c r="D231" s="9"/>
      <c r="L231" s="9"/>
      <c r="M231" s="9"/>
    </row>
    <row r="232">
      <c r="A232" s="9"/>
      <c r="B232" s="9"/>
      <c r="C232" s="9"/>
      <c r="D232" s="9"/>
      <c r="L232" s="9"/>
      <c r="M232" s="9"/>
    </row>
    <row r="233">
      <c r="A233" s="6" t="s">
        <v>0</v>
      </c>
      <c r="B233" s="6" t="s">
        <v>1</v>
      </c>
      <c r="C233" s="1" t="s">
        <v>2</v>
      </c>
      <c r="D233" s="9"/>
      <c r="L233" s="9"/>
      <c r="M233" s="9"/>
    </row>
    <row r="234">
      <c r="A234" s="7" t="s">
        <v>14</v>
      </c>
      <c r="B234" s="8">
        <v>4290259.0</v>
      </c>
      <c r="C234" s="2">
        <v>148011.0</v>
      </c>
      <c r="D234" s="9"/>
      <c r="L234" s="9"/>
      <c r="M234" s="9"/>
    </row>
    <row r="235">
      <c r="A235" s="7" t="s">
        <v>16</v>
      </c>
      <c r="B235" s="8">
        <v>2442375.0</v>
      </c>
      <c r="C235" s="2">
        <v>87618.0</v>
      </c>
      <c r="D235" s="9"/>
      <c r="L235" s="9"/>
      <c r="M235" s="9"/>
    </row>
    <row r="236">
      <c r="A236" s="7" t="s">
        <v>17</v>
      </c>
      <c r="B236" s="8">
        <v>1480073.0</v>
      </c>
      <c r="C236" s="2">
        <v>33408.0</v>
      </c>
      <c r="D236" s="9"/>
      <c r="L236" s="9"/>
      <c r="M236" s="9"/>
    </row>
    <row r="237">
      <c r="A237" s="7" t="s">
        <v>18</v>
      </c>
      <c r="B237" s="8">
        <v>816680.0</v>
      </c>
      <c r="C237" s="2">
        <v>13334.0</v>
      </c>
      <c r="D237" s="9"/>
      <c r="L237" s="9"/>
      <c r="M237" s="9"/>
    </row>
    <row r="238">
      <c r="A238" s="7" t="s">
        <v>19</v>
      </c>
      <c r="B238" s="8">
        <v>452529.0</v>
      </c>
      <c r="C238" s="2">
        <v>7067.0</v>
      </c>
      <c r="D238" s="9"/>
      <c r="L238" s="9"/>
      <c r="M238" s="9"/>
    </row>
    <row r="239">
      <c r="A239" s="7" t="s">
        <v>20</v>
      </c>
      <c r="B239" s="8">
        <v>395489.0</v>
      </c>
      <c r="C239" s="2">
        <v>44022.0</v>
      </c>
      <c r="D239" s="9"/>
      <c r="L239" s="9"/>
      <c r="M239" s="9"/>
    </row>
    <row r="240">
      <c r="A240" s="7" t="s">
        <v>22</v>
      </c>
      <c r="B240" s="8">
        <v>389717.0</v>
      </c>
      <c r="C240" s="2">
        <v>18418.0</v>
      </c>
      <c r="D240" s="9"/>
      <c r="G240" s="1"/>
      <c r="L240" s="9"/>
      <c r="M240" s="9"/>
    </row>
    <row r="241">
      <c r="A241" s="7" t="s">
        <v>23</v>
      </c>
      <c r="B241" s="8">
        <v>347923.0</v>
      </c>
      <c r="C241" s="2">
        <v>9187.0</v>
      </c>
      <c r="D241" s="9"/>
      <c r="G241" s="2"/>
      <c r="L241" s="9"/>
      <c r="M241" s="9"/>
    </row>
    <row r="242">
      <c r="A242" s="7" t="s">
        <v>24</v>
      </c>
      <c r="B242" s="8">
        <v>301708.0</v>
      </c>
      <c r="C242" s="2">
        <v>45844.0</v>
      </c>
      <c r="D242" s="9"/>
      <c r="G242" s="2"/>
      <c r="L242" s="9"/>
      <c r="M242" s="9"/>
    </row>
    <row r="243">
      <c r="A243" s="7" t="s">
        <v>25</v>
      </c>
      <c r="B243" s="8">
        <v>293606.0</v>
      </c>
      <c r="C243" s="2">
        <v>15912.0</v>
      </c>
      <c r="D243" s="9"/>
      <c r="G243" s="2"/>
      <c r="L243" s="9"/>
      <c r="M243" s="9"/>
    </row>
    <row r="244">
      <c r="A244" s="7" t="s">
        <v>26</v>
      </c>
      <c r="B244" s="8">
        <v>274289.0</v>
      </c>
      <c r="C244" s="2">
        <v>5842.0</v>
      </c>
      <c r="D244" s="9"/>
      <c r="G244" s="2"/>
      <c r="L244" s="9"/>
      <c r="M244" s="9"/>
    </row>
    <row r="245">
      <c r="A245" s="7" t="s">
        <v>27</v>
      </c>
      <c r="B245" s="8">
        <v>272421.0</v>
      </c>
      <c r="C245" s="2">
        <v>28432.0</v>
      </c>
      <c r="D245" s="9"/>
      <c r="G245" s="2"/>
      <c r="L245" s="9"/>
      <c r="M245" s="9"/>
    </row>
    <row r="246">
      <c r="A246" s="7" t="s">
        <v>28</v>
      </c>
      <c r="B246" s="8">
        <v>268934.0</v>
      </c>
      <c r="C246" s="2">
        <v>2760.0</v>
      </c>
      <c r="D246" s="9"/>
      <c r="G246" s="2"/>
      <c r="L246" s="9"/>
      <c r="M246" s="9"/>
    </row>
    <row r="247">
      <c r="A247" s="7" t="s">
        <v>29</v>
      </c>
      <c r="B247" s="8">
        <v>257101.0</v>
      </c>
      <c r="C247" s="2">
        <v>8777.0</v>
      </c>
      <c r="D247" s="9"/>
      <c r="G247" s="2"/>
      <c r="L247" s="9"/>
      <c r="M247" s="9"/>
    </row>
    <row r="248">
      <c r="A248" s="7" t="s">
        <v>30</v>
      </c>
      <c r="B248" s="8">
        <v>246286.0</v>
      </c>
      <c r="C248" s="2">
        <v>35112.0</v>
      </c>
      <c r="D248" s="9"/>
      <c r="G248" s="2"/>
      <c r="L248" s="9"/>
      <c r="M248" s="9"/>
    </row>
    <row r="249">
      <c r="A249" s="9"/>
      <c r="B249" s="9"/>
      <c r="D249" s="9"/>
      <c r="G249" s="2"/>
      <c r="L249" s="9"/>
      <c r="M249" s="9"/>
    </row>
    <row r="250">
      <c r="A250" s="9"/>
      <c r="B250" s="9"/>
      <c r="D250" s="9"/>
      <c r="G250" s="2"/>
      <c r="L250" s="9"/>
      <c r="M250" s="9"/>
    </row>
    <row r="251">
      <c r="A251" s="9"/>
      <c r="B251" s="9"/>
      <c r="D251" s="9"/>
      <c r="G251" s="2"/>
      <c r="L251" s="9"/>
      <c r="M251" s="9"/>
    </row>
    <row r="252">
      <c r="A252" s="9"/>
      <c r="B252" s="9"/>
      <c r="D252" s="9"/>
      <c r="G252" s="2"/>
      <c r="L252" s="9"/>
      <c r="M252" s="9"/>
    </row>
    <row r="253">
      <c r="A253" s="9"/>
      <c r="B253" s="9"/>
      <c r="D253" s="9"/>
      <c r="G253" s="2"/>
      <c r="L253" s="9"/>
      <c r="M253" s="9"/>
    </row>
    <row r="254">
      <c r="A254" s="9"/>
      <c r="B254" s="9"/>
      <c r="D254" s="9"/>
      <c r="G254" s="2"/>
      <c r="L254" s="9"/>
      <c r="M254" s="9"/>
    </row>
    <row r="255">
      <c r="A255" s="9"/>
      <c r="B255" s="9"/>
      <c r="D255" s="9"/>
      <c r="G255" s="2"/>
      <c r="L255" s="9"/>
      <c r="M255" s="9"/>
    </row>
    <row r="256">
      <c r="A256" s="9"/>
      <c r="B256" s="9"/>
      <c r="D256" s="9"/>
      <c r="G256" s="2"/>
      <c r="L256" s="9"/>
      <c r="M256" s="9"/>
    </row>
    <row r="257">
      <c r="A257" s="9"/>
      <c r="B257" s="9"/>
      <c r="D257" s="9"/>
      <c r="G257" s="2"/>
      <c r="L257" s="9"/>
      <c r="M257" s="9"/>
    </row>
    <row r="258">
      <c r="A258" s="9"/>
      <c r="B258" s="9"/>
      <c r="D258" s="9"/>
      <c r="G258" s="2"/>
      <c r="L258" s="9"/>
      <c r="M258" s="9"/>
    </row>
    <row r="259">
      <c r="A259" s="9"/>
      <c r="B259" s="9"/>
      <c r="D259" s="9"/>
      <c r="G259" s="2"/>
      <c r="L259" s="9"/>
      <c r="M259" s="9"/>
    </row>
    <row r="260">
      <c r="A260" s="9"/>
      <c r="B260" s="9"/>
      <c r="D260" s="9"/>
      <c r="G260" s="2"/>
      <c r="L260" s="9"/>
      <c r="M260" s="9"/>
    </row>
    <row r="261">
      <c r="A261" s="9"/>
      <c r="B261" s="9"/>
      <c r="D261" s="9"/>
      <c r="G261" s="2"/>
      <c r="L261" s="9"/>
      <c r="M261" s="9"/>
    </row>
    <row r="262">
      <c r="A262" s="9"/>
      <c r="B262" s="9"/>
      <c r="D262" s="9"/>
      <c r="G262" s="2"/>
      <c r="L262" s="9"/>
      <c r="M262" s="9"/>
    </row>
    <row r="263">
      <c r="A263" s="9"/>
      <c r="B263" s="9"/>
      <c r="D263" s="9"/>
      <c r="G263" s="2"/>
      <c r="L263" s="9"/>
      <c r="M263" s="9"/>
    </row>
    <row r="264">
      <c r="A264" s="9"/>
      <c r="B264" s="9"/>
      <c r="D264" s="9"/>
      <c r="G264" s="2"/>
      <c r="L264" s="9"/>
      <c r="M264" s="9"/>
    </row>
    <row r="265">
      <c r="A265" s="9"/>
      <c r="B265" s="9"/>
      <c r="D265" s="9"/>
      <c r="G265" s="2"/>
      <c r="L265" s="9"/>
      <c r="M265" s="9"/>
    </row>
    <row r="266">
      <c r="A266" s="9"/>
      <c r="B266" s="9"/>
      <c r="D266" s="9"/>
      <c r="G266" s="2"/>
      <c r="L266" s="9"/>
      <c r="M266" s="9"/>
    </row>
    <row r="267">
      <c r="A267" s="9"/>
      <c r="B267" s="9"/>
      <c r="D267" s="9"/>
      <c r="G267" s="2"/>
      <c r="L267" s="9"/>
      <c r="M267" s="9"/>
    </row>
    <row r="268">
      <c r="A268" s="9"/>
      <c r="B268" s="9"/>
      <c r="D268" s="9"/>
      <c r="G268" s="2"/>
      <c r="L268" s="9"/>
      <c r="M268" s="9"/>
    </row>
    <row r="269">
      <c r="A269" s="9"/>
      <c r="B269" s="9"/>
      <c r="D269" s="9"/>
      <c r="G269" s="2"/>
      <c r="L269" s="9"/>
      <c r="M269" s="9"/>
    </row>
    <row r="270">
      <c r="A270" s="9"/>
      <c r="B270" s="9"/>
      <c r="D270" s="9"/>
      <c r="G270" s="2"/>
      <c r="L270" s="9"/>
      <c r="M270" s="9"/>
    </row>
    <row r="271">
      <c r="A271" s="9"/>
      <c r="B271" s="9"/>
      <c r="D271" s="9"/>
      <c r="G271" s="2"/>
      <c r="L271" s="9"/>
      <c r="M271" s="9"/>
    </row>
    <row r="272">
      <c r="A272" s="9"/>
      <c r="B272" s="9"/>
      <c r="D272" s="9"/>
      <c r="G272" s="2"/>
      <c r="L272" s="9"/>
      <c r="M272" s="9"/>
    </row>
    <row r="273">
      <c r="A273" s="9"/>
      <c r="B273" s="9"/>
      <c r="D273" s="9"/>
      <c r="G273" s="2"/>
      <c r="L273" s="9"/>
      <c r="M273" s="9"/>
    </row>
    <row r="274">
      <c r="A274" s="9"/>
      <c r="B274" s="9"/>
      <c r="D274" s="9"/>
      <c r="G274" s="2"/>
      <c r="L274" s="9"/>
      <c r="M274" s="9"/>
    </row>
    <row r="275">
      <c r="A275" s="9"/>
      <c r="B275" s="9"/>
      <c r="D275" s="9"/>
      <c r="G275" s="2"/>
      <c r="L275" s="9"/>
      <c r="M275" s="9"/>
    </row>
    <row r="276">
      <c r="A276" s="9"/>
      <c r="B276" s="9"/>
      <c r="D276" s="9"/>
      <c r="G276" s="2"/>
      <c r="L276" s="9"/>
      <c r="M276" s="9"/>
    </row>
    <row r="277">
      <c r="A277" s="9"/>
      <c r="B277" s="9"/>
      <c r="D277" s="9"/>
      <c r="G277" s="2"/>
      <c r="L277" s="9"/>
      <c r="M277" s="9"/>
    </row>
    <row r="278">
      <c r="A278" s="9"/>
      <c r="B278" s="9"/>
      <c r="D278" s="9"/>
      <c r="G278" s="2"/>
      <c r="L278" s="9"/>
      <c r="M278" s="9"/>
    </row>
    <row r="279">
      <c r="A279" s="9"/>
      <c r="B279" s="9"/>
      <c r="D279" s="9"/>
      <c r="G279" s="2"/>
      <c r="L279" s="9"/>
      <c r="M279" s="9"/>
    </row>
    <row r="280">
      <c r="A280" s="9"/>
      <c r="B280" s="9"/>
      <c r="D280" s="9"/>
      <c r="G280" s="2"/>
      <c r="L280" s="9"/>
      <c r="M280" s="9"/>
    </row>
    <row r="281">
      <c r="A281" s="9"/>
      <c r="B281" s="9"/>
      <c r="D281" s="9"/>
      <c r="G281" s="2"/>
      <c r="L281" s="9"/>
      <c r="M281" s="9"/>
    </row>
    <row r="282">
      <c r="A282" s="9"/>
      <c r="B282" s="9"/>
      <c r="D282" s="9"/>
      <c r="G282" s="2"/>
      <c r="L282" s="9"/>
      <c r="M282" s="9"/>
    </row>
    <row r="283">
      <c r="A283" s="9"/>
      <c r="B283" s="9"/>
      <c r="D283" s="9"/>
      <c r="G283" s="2"/>
      <c r="L283" s="9"/>
      <c r="M283" s="9"/>
    </row>
    <row r="284">
      <c r="A284" s="9"/>
      <c r="B284" s="9"/>
      <c r="D284" s="9"/>
      <c r="G284" s="2"/>
      <c r="L284" s="9"/>
      <c r="M284" s="9"/>
    </row>
    <row r="285">
      <c r="A285" s="9"/>
      <c r="B285" s="9"/>
      <c r="D285" s="9"/>
      <c r="G285" s="2"/>
      <c r="L285" s="9"/>
      <c r="M285" s="9"/>
    </row>
    <row r="286">
      <c r="A286" s="9"/>
      <c r="B286" s="9"/>
      <c r="D286" s="9"/>
      <c r="G286" s="2"/>
      <c r="L286" s="9"/>
      <c r="M286" s="9"/>
    </row>
    <row r="287">
      <c r="A287" s="9"/>
      <c r="B287" s="9"/>
      <c r="D287" s="9"/>
      <c r="G287" s="2"/>
      <c r="L287" s="9"/>
      <c r="M287" s="9"/>
    </row>
    <row r="288">
      <c r="A288" s="9"/>
      <c r="B288" s="9"/>
      <c r="D288" s="9"/>
      <c r="G288" s="2"/>
      <c r="L288" s="9"/>
      <c r="M288" s="9"/>
    </row>
    <row r="289">
      <c r="A289" s="9"/>
      <c r="B289" s="9"/>
      <c r="D289" s="9"/>
      <c r="G289" s="2"/>
      <c r="L289" s="9"/>
      <c r="M289" s="9"/>
    </row>
    <row r="290">
      <c r="A290" s="9"/>
      <c r="B290" s="9"/>
      <c r="D290" s="9"/>
      <c r="G290" s="2"/>
      <c r="L290" s="9"/>
      <c r="M290" s="9"/>
    </row>
    <row r="291">
      <c r="A291" s="9"/>
      <c r="B291" s="9"/>
      <c r="D291" s="9"/>
      <c r="G291" s="2"/>
      <c r="L291" s="9"/>
      <c r="M291" s="9"/>
    </row>
    <row r="292">
      <c r="A292" s="9"/>
      <c r="B292" s="9"/>
      <c r="D292" s="9"/>
      <c r="G292" s="2"/>
      <c r="L292" s="9"/>
      <c r="M292" s="9"/>
    </row>
    <row r="293">
      <c r="A293" s="9"/>
      <c r="B293" s="9"/>
      <c r="D293" s="9"/>
      <c r="G293" s="2"/>
      <c r="L293" s="9"/>
      <c r="M293" s="9"/>
    </row>
    <row r="294">
      <c r="A294" s="9"/>
      <c r="B294" s="9"/>
      <c r="D294" s="9"/>
      <c r="G294" s="2"/>
      <c r="L294" s="9"/>
      <c r="M294" s="9"/>
    </row>
    <row r="295">
      <c r="A295" s="9"/>
      <c r="B295" s="9"/>
      <c r="D295" s="9"/>
      <c r="G295" s="2"/>
      <c r="L295" s="9"/>
      <c r="M295" s="9"/>
    </row>
    <row r="296">
      <c r="A296" s="9"/>
      <c r="B296" s="9"/>
      <c r="D296" s="9"/>
      <c r="G296" s="2"/>
      <c r="L296" s="9"/>
      <c r="M296" s="9"/>
    </row>
    <row r="297">
      <c r="A297" s="9"/>
      <c r="B297" s="9"/>
      <c r="D297" s="9"/>
      <c r="G297" s="2"/>
      <c r="L297" s="9"/>
      <c r="M297" s="9"/>
    </row>
    <row r="298">
      <c r="A298" s="9"/>
      <c r="B298" s="9"/>
      <c r="D298" s="9"/>
      <c r="G298" s="2"/>
      <c r="L298" s="9"/>
      <c r="M298" s="9"/>
    </row>
    <row r="299">
      <c r="A299" s="9"/>
      <c r="B299" s="9"/>
      <c r="D299" s="9"/>
      <c r="G299" s="2"/>
      <c r="L299" s="9"/>
      <c r="M299" s="9"/>
    </row>
    <row r="300">
      <c r="A300" s="9"/>
      <c r="B300" s="9"/>
      <c r="D300" s="9"/>
      <c r="G300" s="2"/>
      <c r="L300" s="9"/>
      <c r="M300" s="9"/>
    </row>
    <row r="301">
      <c r="A301" s="9"/>
      <c r="B301" s="9"/>
      <c r="D301" s="9"/>
      <c r="G301" s="2"/>
      <c r="L301" s="9"/>
      <c r="M301" s="9"/>
    </row>
    <row r="302">
      <c r="A302" s="9"/>
      <c r="B302" s="9"/>
      <c r="D302" s="9"/>
      <c r="G302" s="2"/>
      <c r="L302" s="9"/>
      <c r="M302" s="9"/>
    </row>
    <row r="303">
      <c r="A303" s="9"/>
      <c r="B303" s="9"/>
      <c r="D303" s="9"/>
      <c r="G303" s="2"/>
      <c r="L303" s="9"/>
      <c r="M303" s="9"/>
    </row>
    <row r="304">
      <c r="A304" s="9"/>
      <c r="B304" s="9"/>
      <c r="D304" s="9"/>
      <c r="G304" s="2"/>
      <c r="L304" s="9"/>
      <c r="M304" s="9"/>
    </row>
    <row r="305">
      <c r="A305" s="9"/>
      <c r="B305" s="9"/>
      <c r="D305" s="9"/>
      <c r="G305" s="2"/>
      <c r="L305" s="9"/>
      <c r="M305" s="9"/>
    </row>
    <row r="306">
      <c r="A306" s="9"/>
      <c r="B306" s="9"/>
      <c r="D306" s="9"/>
      <c r="G306" s="2"/>
      <c r="L306" s="9"/>
      <c r="M306" s="9"/>
    </row>
    <row r="307">
      <c r="A307" s="9"/>
      <c r="B307" s="9"/>
      <c r="D307" s="9"/>
      <c r="G307" s="2"/>
      <c r="L307" s="9"/>
      <c r="M307" s="9"/>
    </row>
    <row r="308">
      <c r="A308" s="9"/>
      <c r="B308" s="9"/>
      <c r="D308" s="9"/>
      <c r="G308" s="2"/>
      <c r="L308" s="9"/>
      <c r="M308" s="9"/>
    </row>
    <row r="309">
      <c r="A309" s="9"/>
      <c r="B309" s="9"/>
      <c r="D309" s="9"/>
      <c r="G309" s="2"/>
      <c r="L309" s="9"/>
      <c r="M309" s="9"/>
    </row>
    <row r="310">
      <c r="A310" s="9"/>
      <c r="B310" s="9"/>
      <c r="D310" s="9"/>
      <c r="G310" s="2"/>
      <c r="L310" s="9"/>
      <c r="M310" s="9"/>
    </row>
    <row r="311">
      <c r="A311" s="9"/>
      <c r="B311" s="9"/>
      <c r="D311" s="9"/>
      <c r="G311" s="2"/>
      <c r="L311" s="9"/>
      <c r="M311" s="9"/>
    </row>
    <row r="312">
      <c r="A312" s="9"/>
      <c r="B312" s="9"/>
      <c r="D312" s="9"/>
      <c r="G312" s="2"/>
      <c r="L312" s="9"/>
      <c r="M312" s="9"/>
    </row>
    <row r="313">
      <c r="A313" s="9"/>
      <c r="B313" s="9"/>
      <c r="D313" s="9"/>
      <c r="G313" s="2"/>
      <c r="L313" s="9"/>
      <c r="M313" s="9"/>
    </row>
    <row r="314">
      <c r="A314" s="9"/>
      <c r="B314" s="9"/>
      <c r="D314" s="9"/>
      <c r="G314" s="2"/>
      <c r="L314" s="9"/>
      <c r="M314" s="9"/>
    </row>
    <row r="315">
      <c r="A315" s="9"/>
      <c r="B315" s="9"/>
      <c r="D315" s="9"/>
      <c r="G315" s="2"/>
      <c r="L315" s="9"/>
      <c r="M315" s="9"/>
    </row>
    <row r="316">
      <c r="A316" s="9"/>
      <c r="B316" s="9"/>
      <c r="D316" s="9"/>
      <c r="G316" s="2"/>
      <c r="L316" s="9"/>
      <c r="M316" s="9"/>
    </row>
    <row r="317">
      <c r="A317" s="9"/>
      <c r="B317" s="9"/>
      <c r="D317" s="9"/>
      <c r="G317" s="2"/>
      <c r="L317" s="9"/>
      <c r="M317" s="9"/>
    </row>
    <row r="318">
      <c r="A318" s="9"/>
      <c r="B318" s="9"/>
      <c r="D318" s="9"/>
      <c r="G318" s="2"/>
      <c r="L318" s="9"/>
      <c r="M318" s="9"/>
    </row>
    <row r="319">
      <c r="A319" s="9"/>
      <c r="B319" s="9"/>
      <c r="D319" s="9"/>
      <c r="G319" s="2"/>
      <c r="L319" s="9"/>
      <c r="M319" s="9"/>
    </row>
    <row r="320">
      <c r="A320" s="9"/>
      <c r="B320" s="9"/>
      <c r="D320" s="9"/>
      <c r="G320" s="2"/>
      <c r="L320" s="9"/>
      <c r="M320" s="9"/>
    </row>
    <row r="321">
      <c r="A321" s="9"/>
      <c r="B321" s="9"/>
      <c r="D321" s="9"/>
      <c r="G321" s="2"/>
      <c r="L321" s="9"/>
      <c r="M321" s="9"/>
    </row>
    <row r="322">
      <c r="A322" s="9"/>
      <c r="B322" s="9"/>
      <c r="D322" s="9"/>
      <c r="G322" s="2"/>
      <c r="L322" s="9"/>
      <c r="M322" s="9"/>
    </row>
    <row r="323">
      <c r="A323" s="9"/>
      <c r="B323" s="9"/>
      <c r="D323" s="9"/>
      <c r="G323" s="2"/>
      <c r="L323" s="9"/>
      <c r="M323" s="9"/>
    </row>
    <row r="324">
      <c r="A324" s="9"/>
      <c r="B324" s="9"/>
      <c r="D324" s="9"/>
      <c r="G324" s="2"/>
      <c r="L324" s="9"/>
      <c r="M324" s="9"/>
    </row>
    <row r="325">
      <c r="A325" s="9"/>
      <c r="B325" s="9"/>
      <c r="D325" s="9"/>
      <c r="G325" s="2"/>
      <c r="L325" s="9"/>
      <c r="M325" s="9"/>
    </row>
    <row r="326">
      <c r="A326" s="9"/>
      <c r="B326" s="9"/>
      <c r="D326" s="9"/>
      <c r="G326" s="2"/>
      <c r="L326" s="9"/>
      <c r="M326" s="9"/>
    </row>
    <row r="327">
      <c r="A327" s="9"/>
      <c r="B327" s="9"/>
      <c r="D327" s="9"/>
      <c r="G327" s="2"/>
      <c r="L327" s="9"/>
      <c r="M327" s="9"/>
    </row>
    <row r="328">
      <c r="A328" s="9"/>
      <c r="B328" s="9"/>
      <c r="D328" s="9"/>
      <c r="G328" s="2"/>
      <c r="L328" s="9"/>
      <c r="M328" s="9"/>
    </row>
    <row r="329">
      <c r="A329" s="9"/>
      <c r="B329" s="9"/>
      <c r="D329" s="9"/>
      <c r="G329" s="2"/>
      <c r="L329" s="9"/>
      <c r="M329" s="9"/>
    </row>
    <row r="330">
      <c r="A330" s="9"/>
      <c r="B330" s="9"/>
      <c r="D330" s="9"/>
      <c r="G330" s="2"/>
      <c r="L330" s="9"/>
      <c r="M330" s="9"/>
    </row>
    <row r="331">
      <c r="A331" s="9"/>
      <c r="B331" s="9"/>
      <c r="D331" s="9"/>
      <c r="G331" s="2"/>
      <c r="L331" s="9"/>
      <c r="M331" s="9"/>
    </row>
    <row r="332">
      <c r="A332" s="9"/>
      <c r="B332" s="9"/>
      <c r="D332" s="9"/>
      <c r="G332" s="2"/>
      <c r="L332" s="9"/>
      <c r="M332" s="9"/>
    </row>
    <row r="333">
      <c r="A333" s="9"/>
      <c r="B333" s="9"/>
      <c r="D333" s="9"/>
      <c r="G333" s="2"/>
      <c r="L333" s="9"/>
      <c r="M333" s="9"/>
    </row>
    <row r="334">
      <c r="A334" s="9"/>
      <c r="B334" s="9"/>
      <c r="D334" s="9"/>
      <c r="G334" s="2"/>
      <c r="L334" s="9"/>
      <c r="M334" s="9"/>
    </row>
    <row r="335">
      <c r="A335" s="9"/>
      <c r="B335" s="9"/>
      <c r="D335" s="9"/>
      <c r="G335" s="2"/>
      <c r="L335" s="9"/>
      <c r="M335" s="9"/>
    </row>
    <row r="336">
      <c r="A336" s="9"/>
      <c r="B336" s="9"/>
      <c r="D336" s="9"/>
      <c r="G336" s="2"/>
      <c r="L336" s="9"/>
      <c r="M336" s="9"/>
    </row>
    <row r="337">
      <c r="A337" s="9"/>
      <c r="B337" s="9"/>
      <c r="D337" s="9"/>
      <c r="G337" s="2"/>
      <c r="L337" s="9"/>
      <c r="M337" s="9"/>
    </row>
    <row r="338">
      <c r="A338" s="9"/>
      <c r="B338" s="9"/>
      <c r="D338" s="9"/>
      <c r="G338" s="2"/>
      <c r="L338" s="9"/>
      <c r="M338" s="9"/>
    </row>
    <row r="339">
      <c r="A339" s="9"/>
      <c r="B339" s="9"/>
      <c r="D339" s="9"/>
      <c r="G339" s="2"/>
      <c r="L339" s="9"/>
      <c r="M339" s="9"/>
    </row>
    <row r="340">
      <c r="A340" s="9"/>
      <c r="B340" s="9"/>
      <c r="D340" s="9"/>
      <c r="G340" s="2"/>
      <c r="L340" s="9"/>
      <c r="M340" s="9"/>
    </row>
    <row r="341">
      <c r="A341" s="9"/>
      <c r="B341" s="9"/>
      <c r="D341" s="9"/>
      <c r="G341" s="2"/>
      <c r="L341" s="9"/>
      <c r="M341" s="9"/>
    </row>
    <row r="342">
      <c r="A342" s="9"/>
      <c r="B342" s="9"/>
      <c r="D342" s="9"/>
      <c r="G342" s="2"/>
      <c r="L342" s="9"/>
      <c r="M342" s="9"/>
    </row>
    <row r="343">
      <c r="A343" s="9"/>
      <c r="B343" s="9"/>
      <c r="D343" s="9"/>
      <c r="G343" s="2"/>
      <c r="L343" s="9"/>
      <c r="M343" s="9"/>
    </row>
    <row r="344">
      <c r="A344" s="9"/>
      <c r="B344" s="9"/>
      <c r="D344" s="9"/>
      <c r="G344" s="2"/>
      <c r="L344" s="9"/>
      <c r="M344" s="9"/>
    </row>
    <row r="345">
      <c r="A345" s="9"/>
      <c r="B345" s="9"/>
      <c r="D345" s="9"/>
      <c r="G345" s="2"/>
      <c r="L345" s="9"/>
      <c r="M345" s="9"/>
    </row>
    <row r="346">
      <c r="A346" s="9"/>
      <c r="B346" s="9"/>
      <c r="D346" s="9"/>
      <c r="G346" s="2"/>
      <c r="L346" s="9"/>
      <c r="M346" s="9"/>
    </row>
    <row r="347">
      <c r="A347" s="9"/>
      <c r="B347" s="9"/>
      <c r="D347" s="9"/>
      <c r="G347" s="2"/>
      <c r="L347" s="9"/>
      <c r="M347" s="9"/>
    </row>
    <row r="348">
      <c r="A348" s="9"/>
      <c r="B348" s="9"/>
      <c r="D348" s="9"/>
      <c r="G348" s="2"/>
      <c r="L348" s="9"/>
      <c r="M348" s="9"/>
    </row>
    <row r="349">
      <c r="A349" s="9"/>
      <c r="B349" s="9"/>
      <c r="D349" s="9"/>
      <c r="G349" s="2"/>
      <c r="L349" s="9"/>
      <c r="M349" s="9"/>
    </row>
    <row r="350">
      <c r="A350" s="9"/>
      <c r="B350" s="9"/>
      <c r="D350" s="9"/>
      <c r="G350" s="2"/>
      <c r="L350" s="9"/>
      <c r="M350" s="9"/>
    </row>
    <row r="351">
      <c r="A351" s="9"/>
      <c r="B351" s="9"/>
      <c r="D351" s="9"/>
      <c r="G351" s="2"/>
      <c r="L351" s="9"/>
      <c r="M351" s="9"/>
    </row>
    <row r="352">
      <c r="A352" s="9"/>
      <c r="B352" s="9"/>
      <c r="D352" s="9"/>
      <c r="G352" s="2"/>
      <c r="L352" s="9"/>
      <c r="M352" s="9"/>
    </row>
    <row r="353">
      <c r="A353" s="9"/>
      <c r="B353" s="9"/>
      <c r="D353" s="9"/>
      <c r="G353" s="2"/>
      <c r="L353" s="9"/>
      <c r="M353" s="9"/>
    </row>
    <row r="354">
      <c r="A354" s="9"/>
      <c r="B354" s="9"/>
      <c r="D354" s="9"/>
      <c r="G354" s="2"/>
      <c r="L354" s="9"/>
      <c r="M354" s="9"/>
    </row>
    <row r="355">
      <c r="A355" s="9"/>
      <c r="B355" s="9"/>
      <c r="D355" s="9"/>
      <c r="G355" s="2"/>
      <c r="L355" s="9"/>
      <c r="M355" s="9"/>
    </row>
    <row r="356">
      <c r="A356" s="9"/>
      <c r="B356" s="9"/>
      <c r="D356" s="9"/>
      <c r="G356" s="2"/>
      <c r="L356" s="9"/>
      <c r="M356" s="9"/>
    </row>
    <row r="357">
      <c r="A357" s="9"/>
      <c r="B357" s="9"/>
      <c r="D357" s="9"/>
      <c r="G357" s="2"/>
      <c r="L357" s="9"/>
      <c r="M357" s="9"/>
    </row>
    <row r="358">
      <c r="A358" s="9"/>
      <c r="B358" s="9"/>
      <c r="D358" s="9"/>
      <c r="G358" s="2"/>
      <c r="L358" s="9"/>
      <c r="M358" s="9"/>
    </row>
    <row r="359">
      <c r="A359" s="9"/>
      <c r="B359" s="9"/>
      <c r="D359" s="9"/>
      <c r="G359" s="2"/>
      <c r="L359" s="9"/>
      <c r="M359" s="9"/>
    </row>
    <row r="360">
      <c r="A360" s="9"/>
      <c r="B360" s="9"/>
      <c r="D360" s="9"/>
      <c r="G360" s="2"/>
      <c r="L360" s="9"/>
      <c r="M360" s="9"/>
    </row>
    <row r="361">
      <c r="A361" s="9"/>
      <c r="B361" s="9"/>
      <c r="D361" s="9"/>
      <c r="G361" s="2"/>
      <c r="L361" s="9"/>
      <c r="M361" s="9"/>
    </row>
    <row r="362">
      <c r="A362" s="9"/>
      <c r="B362" s="9"/>
      <c r="D362" s="9"/>
      <c r="G362" s="2"/>
      <c r="L362" s="9"/>
      <c r="M362" s="9"/>
    </row>
    <row r="363">
      <c r="A363" s="9"/>
      <c r="B363" s="9"/>
      <c r="D363" s="9"/>
      <c r="G363" s="2"/>
      <c r="L363" s="9"/>
      <c r="M363" s="9"/>
    </row>
    <row r="364">
      <c r="A364" s="9"/>
      <c r="B364" s="9"/>
      <c r="D364" s="9"/>
      <c r="G364" s="2"/>
      <c r="L364" s="9"/>
      <c r="M364" s="9"/>
    </row>
    <row r="365">
      <c r="A365" s="9"/>
      <c r="B365" s="9"/>
      <c r="D365" s="9"/>
      <c r="G365" s="2"/>
      <c r="L365" s="9"/>
      <c r="M365" s="9"/>
    </row>
    <row r="366">
      <c r="A366" s="9"/>
      <c r="B366" s="9"/>
      <c r="D366" s="9"/>
      <c r="G366" s="2"/>
      <c r="L366" s="9"/>
      <c r="M366" s="9"/>
    </row>
    <row r="367">
      <c r="A367" s="9"/>
      <c r="B367" s="9"/>
      <c r="D367" s="9"/>
      <c r="G367" s="2"/>
      <c r="L367" s="9"/>
      <c r="M367" s="9"/>
    </row>
    <row r="368">
      <c r="A368" s="9"/>
      <c r="B368" s="9"/>
      <c r="D368" s="9"/>
      <c r="G368" s="2"/>
      <c r="L368" s="9"/>
      <c r="M368" s="9"/>
    </row>
    <row r="369">
      <c r="A369" s="9"/>
      <c r="B369" s="9"/>
      <c r="D369" s="9"/>
      <c r="G369" s="2"/>
      <c r="L369" s="9"/>
      <c r="M369" s="9"/>
    </row>
    <row r="370">
      <c r="A370" s="9"/>
      <c r="B370" s="9"/>
      <c r="D370" s="9"/>
      <c r="G370" s="2"/>
      <c r="L370" s="9"/>
      <c r="M370" s="9"/>
    </row>
    <row r="371">
      <c r="A371" s="9"/>
      <c r="B371" s="9"/>
      <c r="D371" s="9"/>
      <c r="G371" s="2"/>
      <c r="L371" s="9"/>
      <c r="M371" s="9"/>
    </row>
    <row r="372">
      <c r="A372" s="9"/>
      <c r="B372" s="9"/>
      <c r="D372" s="9"/>
      <c r="G372" s="2"/>
      <c r="L372" s="9"/>
      <c r="M372" s="9"/>
    </row>
    <row r="373">
      <c r="A373" s="9"/>
      <c r="B373" s="9"/>
      <c r="D373" s="9"/>
      <c r="G373" s="2"/>
      <c r="L373" s="9"/>
      <c r="M373" s="9"/>
    </row>
    <row r="374">
      <c r="A374" s="9"/>
      <c r="B374" s="9"/>
      <c r="D374" s="9"/>
      <c r="G374" s="2"/>
      <c r="L374" s="9"/>
      <c r="M374" s="9"/>
    </row>
    <row r="375">
      <c r="A375" s="9"/>
      <c r="B375" s="9"/>
      <c r="D375" s="9"/>
      <c r="G375" s="2"/>
      <c r="L375" s="9"/>
      <c r="M375" s="9"/>
    </row>
    <row r="376">
      <c r="A376" s="9"/>
      <c r="B376" s="9"/>
      <c r="D376" s="9"/>
      <c r="G376" s="2"/>
      <c r="L376" s="9"/>
      <c r="M376" s="9"/>
    </row>
    <row r="377">
      <c r="A377" s="9"/>
      <c r="B377" s="9"/>
      <c r="D377" s="9"/>
      <c r="G377" s="2"/>
      <c r="L377" s="9"/>
      <c r="M377" s="9"/>
    </row>
    <row r="378">
      <c r="A378" s="9"/>
      <c r="B378" s="9"/>
      <c r="D378" s="9"/>
      <c r="G378" s="2"/>
      <c r="L378" s="9"/>
      <c r="M378" s="9"/>
    </row>
    <row r="379">
      <c r="A379" s="9"/>
      <c r="B379" s="9"/>
      <c r="D379" s="9"/>
      <c r="G379" s="2"/>
      <c r="L379" s="9"/>
      <c r="M379" s="9"/>
    </row>
    <row r="380">
      <c r="A380" s="9"/>
      <c r="B380" s="9"/>
      <c r="D380" s="9"/>
      <c r="G380" s="2"/>
      <c r="L380" s="9"/>
      <c r="M380" s="9"/>
    </row>
    <row r="381">
      <c r="A381" s="9"/>
      <c r="B381" s="9"/>
      <c r="D381" s="9"/>
      <c r="G381" s="2"/>
      <c r="L381" s="9"/>
      <c r="M381" s="9"/>
    </row>
    <row r="382">
      <c r="A382" s="9"/>
      <c r="B382" s="9"/>
      <c r="D382" s="9"/>
      <c r="G382" s="2"/>
      <c r="L382" s="9"/>
      <c r="M382" s="9"/>
    </row>
    <row r="383">
      <c r="A383" s="9"/>
      <c r="B383" s="9"/>
      <c r="D383" s="9"/>
      <c r="G383" s="2"/>
      <c r="L383" s="9"/>
      <c r="M383" s="9"/>
    </row>
    <row r="384">
      <c r="A384" s="9"/>
      <c r="B384" s="9"/>
      <c r="D384" s="9"/>
      <c r="G384" s="2"/>
      <c r="L384" s="9"/>
      <c r="M384" s="9"/>
    </row>
    <row r="385">
      <c r="A385" s="9"/>
      <c r="B385" s="9"/>
      <c r="D385" s="9"/>
      <c r="G385" s="2"/>
      <c r="L385" s="9"/>
      <c r="M385" s="9"/>
    </row>
    <row r="386">
      <c r="A386" s="9"/>
      <c r="B386" s="9"/>
      <c r="D386" s="9"/>
      <c r="G386" s="2"/>
      <c r="L386" s="9"/>
      <c r="M386" s="9"/>
    </row>
    <row r="387">
      <c r="A387" s="9"/>
      <c r="B387" s="9"/>
      <c r="D387" s="9"/>
      <c r="G387" s="2"/>
      <c r="L387" s="9"/>
      <c r="M387" s="9"/>
    </row>
    <row r="388">
      <c r="A388" s="9"/>
      <c r="B388" s="9"/>
      <c r="D388" s="9"/>
      <c r="G388" s="2"/>
      <c r="L388" s="9"/>
      <c r="M388" s="9"/>
    </row>
    <row r="389">
      <c r="A389" s="9"/>
      <c r="B389" s="9"/>
      <c r="D389" s="9"/>
      <c r="G389" s="2"/>
      <c r="L389" s="9"/>
      <c r="M389" s="9"/>
    </row>
    <row r="390">
      <c r="A390" s="9"/>
      <c r="B390" s="9"/>
      <c r="D390" s="9"/>
      <c r="G390" s="2"/>
      <c r="L390" s="9"/>
      <c r="M390" s="9"/>
    </row>
    <row r="391">
      <c r="A391" s="9"/>
      <c r="B391" s="9"/>
      <c r="D391" s="9"/>
      <c r="G391" s="2"/>
      <c r="L391" s="9"/>
      <c r="M391" s="9"/>
    </row>
    <row r="392">
      <c r="A392" s="9"/>
      <c r="B392" s="9"/>
      <c r="D392" s="9"/>
      <c r="G392" s="2"/>
      <c r="L392" s="9"/>
      <c r="M392" s="9"/>
    </row>
    <row r="393">
      <c r="A393" s="9"/>
      <c r="B393" s="9"/>
      <c r="D393" s="9"/>
      <c r="G393" s="2"/>
      <c r="L393" s="9"/>
      <c r="M393" s="9"/>
    </row>
    <row r="394">
      <c r="A394" s="9"/>
      <c r="B394" s="9"/>
      <c r="D394" s="9"/>
      <c r="G394" s="2"/>
      <c r="L394" s="9"/>
      <c r="M394" s="9"/>
    </row>
    <row r="395">
      <c r="A395" s="9"/>
      <c r="B395" s="9"/>
      <c r="D395" s="9"/>
      <c r="G395" s="2"/>
      <c r="L395" s="9"/>
      <c r="M395" s="9"/>
    </row>
    <row r="396">
      <c r="A396" s="9"/>
      <c r="B396" s="9"/>
      <c r="D396" s="9"/>
      <c r="G396" s="2"/>
      <c r="L396" s="9"/>
      <c r="M396" s="9"/>
    </row>
    <row r="397">
      <c r="A397" s="9"/>
      <c r="B397" s="9"/>
      <c r="D397" s="9"/>
      <c r="G397" s="2"/>
      <c r="L397" s="9"/>
      <c r="M397" s="9"/>
    </row>
    <row r="398">
      <c r="A398" s="9"/>
      <c r="B398" s="9"/>
      <c r="D398" s="9"/>
      <c r="G398" s="2"/>
      <c r="L398" s="9"/>
      <c r="M398" s="9"/>
    </row>
    <row r="399">
      <c r="A399" s="9"/>
      <c r="B399" s="9"/>
      <c r="D399" s="9"/>
      <c r="G399" s="2"/>
      <c r="L399" s="9"/>
      <c r="M399" s="9"/>
    </row>
    <row r="400">
      <c r="A400" s="9"/>
      <c r="B400" s="9"/>
      <c r="D400" s="9"/>
      <c r="G400" s="2"/>
      <c r="L400" s="9"/>
      <c r="M400" s="9"/>
    </row>
    <row r="401">
      <c r="A401" s="9"/>
      <c r="B401" s="9"/>
      <c r="D401" s="9"/>
      <c r="G401" s="2"/>
      <c r="L401" s="9"/>
      <c r="M401" s="9"/>
    </row>
    <row r="402">
      <c r="A402" s="9"/>
      <c r="B402" s="9"/>
      <c r="D402" s="9"/>
      <c r="G402" s="2"/>
      <c r="L402" s="9"/>
      <c r="M402" s="9"/>
    </row>
    <row r="403">
      <c r="A403" s="9"/>
      <c r="B403" s="9"/>
      <c r="D403" s="9"/>
      <c r="G403" s="2"/>
      <c r="L403" s="9"/>
      <c r="M403" s="9"/>
    </row>
    <row r="404">
      <c r="A404" s="9"/>
      <c r="B404" s="9"/>
      <c r="D404" s="9"/>
      <c r="G404" s="2"/>
      <c r="L404" s="9"/>
      <c r="M404" s="9"/>
    </row>
    <row r="405">
      <c r="A405" s="9"/>
      <c r="B405" s="9"/>
      <c r="D405" s="9"/>
      <c r="G405" s="2"/>
      <c r="L405" s="9"/>
      <c r="M405" s="9"/>
    </row>
    <row r="406">
      <c r="A406" s="9"/>
      <c r="B406" s="9"/>
      <c r="D406" s="9"/>
      <c r="G406" s="2"/>
      <c r="L406" s="9"/>
      <c r="M406" s="9"/>
    </row>
    <row r="407">
      <c r="A407" s="9"/>
      <c r="B407" s="9"/>
      <c r="D407" s="9"/>
      <c r="G407" s="2"/>
      <c r="L407" s="9"/>
      <c r="M407" s="9"/>
    </row>
    <row r="408">
      <c r="A408" s="9"/>
      <c r="B408" s="9"/>
      <c r="D408" s="9"/>
      <c r="G408" s="2"/>
      <c r="L408" s="9"/>
      <c r="M408" s="9"/>
    </row>
    <row r="409">
      <c r="A409" s="9"/>
      <c r="B409" s="9"/>
      <c r="D409" s="9"/>
      <c r="G409" s="2"/>
      <c r="L409" s="9"/>
      <c r="M409" s="9"/>
    </row>
    <row r="410">
      <c r="A410" s="9"/>
      <c r="B410" s="9"/>
      <c r="D410" s="9"/>
      <c r="G410" s="2"/>
      <c r="L410" s="9"/>
      <c r="M410" s="9"/>
    </row>
    <row r="411">
      <c r="A411" s="9"/>
      <c r="B411" s="9"/>
      <c r="D411" s="9"/>
      <c r="G411" s="2"/>
      <c r="L411" s="9"/>
      <c r="M411" s="9"/>
    </row>
    <row r="412">
      <c r="A412" s="9"/>
      <c r="B412" s="9"/>
      <c r="D412" s="9"/>
      <c r="G412" s="2"/>
      <c r="L412" s="9"/>
      <c r="M412" s="9"/>
    </row>
    <row r="413">
      <c r="A413" s="9"/>
      <c r="B413" s="9"/>
      <c r="D413" s="9"/>
      <c r="G413" s="2"/>
      <c r="L413" s="9"/>
      <c r="M413" s="9"/>
    </row>
    <row r="414">
      <c r="A414" s="9"/>
      <c r="B414" s="9"/>
      <c r="D414" s="9"/>
      <c r="G414" s="2"/>
      <c r="L414" s="9"/>
      <c r="M414" s="9"/>
    </row>
    <row r="415">
      <c r="A415" s="9"/>
      <c r="B415" s="9"/>
      <c r="D415" s="9"/>
      <c r="G415" s="2"/>
      <c r="L415" s="9"/>
      <c r="M415" s="9"/>
    </row>
    <row r="416">
      <c r="A416" s="9"/>
      <c r="B416" s="9"/>
      <c r="D416" s="9"/>
      <c r="G416" s="2"/>
      <c r="L416" s="9"/>
      <c r="M416" s="9"/>
    </row>
    <row r="417">
      <c r="A417" s="9"/>
      <c r="B417" s="9"/>
      <c r="D417" s="9"/>
      <c r="G417" s="2"/>
      <c r="L417" s="9"/>
      <c r="M417" s="9"/>
    </row>
    <row r="418">
      <c r="A418" s="9"/>
      <c r="B418" s="9"/>
      <c r="D418" s="9"/>
      <c r="G418" s="2"/>
      <c r="L418" s="9"/>
      <c r="M418" s="9"/>
    </row>
    <row r="419">
      <c r="A419" s="9"/>
      <c r="B419" s="9"/>
      <c r="D419" s="9"/>
      <c r="G419" s="2"/>
      <c r="L419" s="9"/>
      <c r="M419" s="9"/>
    </row>
    <row r="420">
      <c r="A420" s="9"/>
      <c r="B420" s="9"/>
      <c r="D420" s="9"/>
      <c r="G420" s="2"/>
      <c r="L420" s="9"/>
      <c r="M420" s="9"/>
    </row>
    <row r="421">
      <c r="A421" s="9"/>
      <c r="B421" s="9"/>
      <c r="D421" s="9"/>
      <c r="G421" s="2"/>
      <c r="L421" s="9"/>
      <c r="M421" s="9"/>
    </row>
    <row r="422">
      <c r="A422" s="9"/>
      <c r="B422" s="9"/>
      <c r="D422" s="9"/>
      <c r="G422" s="2"/>
      <c r="L422" s="9"/>
      <c r="M422" s="9"/>
    </row>
    <row r="423">
      <c r="A423" s="9"/>
      <c r="B423" s="9"/>
      <c r="D423" s="9"/>
      <c r="G423" s="2"/>
      <c r="L423" s="9"/>
      <c r="M423" s="9"/>
    </row>
    <row r="424">
      <c r="A424" s="9"/>
      <c r="B424" s="9"/>
      <c r="D424" s="9"/>
      <c r="G424" s="2"/>
      <c r="L424" s="9"/>
      <c r="M424" s="9"/>
    </row>
    <row r="425">
      <c r="A425" s="9"/>
      <c r="B425" s="9"/>
      <c r="D425" s="9"/>
      <c r="G425" s="2"/>
      <c r="L425" s="9"/>
      <c r="M425" s="9"/>
    </row>
    <row r="426">
      <c r="A426" s="9"/>
      <c r="B426" s="9"/>
      <c r="D426" s="9"/>
      <c r="G426" s="2"/>
      <c r="L426" s="9"/>
      <c r="M426" s="9"/>
    </row>
    <row r="427">
      <c r="A427" s="9"/>
      <c r="B427" s="9"/>
      <c r="D427" s="9"/>
      <c r="G427" s="2"/>
      <c r="L427" s="9"/>
      <c r="M427" s="9"/>
    </row>
    <row r="428">
      <c r="A428" s="9"/>
      <c r="B428" s="9"/>
      <c r="D428" s="9"/>
      <c r="L428" s="9"/>
      <c r="M428" s="9"/>
    </row>
    <row r="429">
      <c r="A429" s="9"/>
      <c r="B429" s="9"/>
      <c r="D429" s="9"/>
      <c r="L429" s="9"/>
      <c r="M429" s="9"/>
    </row>
    <row r="430">
      <c r="A430" s="9"/>
      <c r="B430" s="9"/>
      <c r="D430" s="9"/>
      <c r="L430" s="9"/>
      <c r="M430" s="9"/>
    </row>
    <row r="431">
      <c r="A431" s="9"/>
      <c r="B431" s="9"/>
      <c r="D431" s="9"/>
      <c r="L431" s="9"/>
      <c r="M431" s="9"/>
    </row>
    <row r="432">
      <c r="A432" s="9"/>
      <c r="B432" s="9"/>
      <c r="D432" s="9"/>
      <c r="L432" s="9"/>
      <c r="M432" s="9"/>
    </row>
    <row r="433">
      <c r="A433" s="9"/>
      <c r="B433" s="9"/>
      <c r="D433" s="9"/>
      <c r="L433" s="9"/>
      <c r="M433" s="9"/>
    </row>
    <row r="434">
      <c r="A434" s="9"/>
      <c r="B434" s="9"/>
      <c r="D434" s="9"/>
      <c r="L434" s="9"/>
      <c r="M434" s="9"/>
    </row>
    <row r="435">
      <c r="A435" s="9"/>
      <c r="B435" s="9"/>
      <c r="D435" s="9"/>
      <c r="L435" s="9"/>
      <c r="M435" s="9"/>
    </row>
    <row r="436">
      <c r="A436" s="9"/>
      <c r="B436" s="9"/>
      <c r="D436" s="9"/>
      <c r="L436" s="9"/>
      <c r="M436" s="9"/>
    </row>
    <row r="437">
      <c r="A437" s="9"/>
      <c r="B437" s="9"/>
      <c r="D437" s="9"/>
      <c r="L437" s="9"/>
      <c r="M437" s="9"/>
    </row>
    <row r="438">
      <c r="A438" s="9"/>
      <c r="B438" s="9"/>
      <c r="D438" s="9"/>
      <c r="L438" s="9"/>
      <c r="M438" s="9"/>
    </row>
    <row r="439">
      <c r="A439" s="9"/>
      <c r="B439" s="9"/>
      <c r="D439" s="9"/>
      <c r="L439" s="9"/>
      <c r="M439" s="9"/>
    </row>
    <row r="440">
      <c r="A440" s="9"/>
      <c r="B440" s="9"/>
      <c r="D440" s="9"/>
      <c r="L440" s="9"/>
      <c r="M440" s="9"/>
    </row>
    <row r="441">
      <c r="A441" s="9"/>
      <c r="B441" s="9"/>
      <c r="D441" s="9"/>
      <c r="L441" s="9"/>
      <c r="M441" s="9"/>
    </row>
    <row r="442">
      <c r="A442" s="9"/>
      <c r="B442" s="9"/>
      <c r="D442" s="9"/>
      <c r="L442" s="9"/>
      <c r="M442" s="9"/>
    </row>
    <row r="443">
      <c r="A443" s="9"/>
      <c r="B443" s="9"/>
      <c r="D443" s="9"/>
      <c r="L443" s="9"/>
      <c r="M443" s="9"/>
    </row>
    <row r="444">
      <c r="A444" s="9"/>
      <c r="B444" s="9"/>
      <c r="D444" s="9"/>
      <c r="L444" s="9"/>
      <c r="M444" s="9"/>
    </row>
    <row r="445">
      <c r="A445" s="9"/>
      <c r="B445" s="9"/>
      <c r="D445" s="9"/>
      <c r="L445" s="9"/>
      <c r="M445" s="9"/>
    </row>
    <row r="446">
      <c r="A446" s="9"/>
      <c r="B446" s="9"/>
      <c r="D446" s="9"/>
      <c r="L446" s="9"/>
      <c r="M446" s="9"/>
    </row>
    <row r="447">
      <c r="A447" s="9"/>
      <c r="B447" s="9"/>
      <c r="D447" s="9"/>
      <c r="L447" s="9"/>
      <c r="M447" s="9"/>
    </row>
    <row r="448">
      <c r="A448" s="9"/>
      <c r="B448" s="9"/>
      <c r="D448" s="9"/>
      <c r="L448" s="9"/>
      <c r="M448" s="9"/>
    </row>
    <row r="449">
      <c r="A449" s="9"/>
      <c r="B449" s="9"/>
      <c r="D449" s="9"/>
      <c r="L449" s="9"/>
      <c r="M449" s="9"/>
    </row>
    <row r="450">
      <c r="A450" s="9"/>
      <c r="B450" s="9"/>
      <c r="D450" s="9"/>
      <c r="L450" s="9"/>
      <c r="M450" s="9"/>
    </row>
    <row r="451">
      <c r="A451" s="9"/>
      <c r="B451" s="9"/>
      <c r="D451" s="9"/>
      <c r="L451" s="9"/>
      <c r="M451" s="9"/>
    </row>
    <row r="452">
      <c r="A452" s="9"/>
      <c r="B452" s="9"/>
      <c r="D452" s="9"/>
      <c r="L452" s="9"/>
      <c r="M452" s="9"/>
    </row>
    <row r="453">
      <c r="A453" s="9"/>
      <c r="B453" s="9"/>
      <c r="D453" s="9"/>
      <c r="L453" s="9"/>
      <c r="M453" s="9"/>
    </row>
    <row r="454">
      <c r="A454" s="9"/>
      <c r="B454" s="9"/>
      <c r="D454" s="9"/>
      <c r="L454" s="9"/>
      <c r="M454" s="9"/>
    </row>
    <row r="455">
      <c r="A455" s="9"/>
      <c r="B455" s="9"/>
      <c r="D455" s="9"/>
      <c r="L455" s="9"/>
      <c r="M455" s="9"/>
    </row>
    <row r="456">
      <c r="A456" s="9"/>
      <c r="B456" s="9"/>
      <c r="D456" s="9"/>
      <c r="L456" s="9"/>
      <c r="M456" s="9"/>
    </row>
    <row r="457">
      <c r="A457" s="9"/>
      <c r="B457" s="9"/>
      <c r="D457" s="9"/>
      <c r="L457" s="9"/>
      <c r="M457" s="9"/>
    </row>
    <row r="458">
      <c r="A458" s="9"/>
      <c r="B458" s="9"/>
      <c r="D458" s="9"/>
      <c r="L458" s="9"/>
      <c r="M458" s="9"/>
    </row>
    <row r="459">
      <c r="A459" s="9"/>
      <c r="B459" s="9"/>
      <c r="D459" s="9"/>
      <c r="L459" s="9"/>
      <c r="M459" s="9"/>
    </row>
    <row r="460">
      <c r="A460" s="9"/>
      <c r="B460" s="9"/>
      <c r="D460" s="9"/>
      <c r="L460" s="9"/>
      <c r="M460" s="9"/>
    </row>
    <row r="461">
      <c r="A461" s="9"/>
      <c r="B461" s="9"/>
      <c r="D461" s="9"/>
      <c r="L461" s="9"/>
      <c r="M461" s="9"/>
    </row>
    <row r="462">
      <c r="A462" s="9"/>
      <c r="B462" s="9"/>
      <c r="D462" s="9"/>
      <c r="L462" s="9"/>
      <c r="M462" s="9"/>
    </row>
    <row r="463">
      <c r="A463" s="9"/>
      <c r="B463" s="9"/>
      <c r="D463" s="9"/>
      <c r="L463" s="9"/>
      <c r="M463" s="9"/>
    </row>
    <row r="464">
      <c r="A464" s="9"/>
      <c r="B464" s="9"/>
      <c r="D464" s="9"/>
      <c r="L464" s="9"/>
      <c r="M464" s="9"/>
    </row>
    <row r="465">
      <c r="A465" s="9"/>
      <c r="B465" s="9"/>
      <c r="D465" s="9"/>
      <c r="L465" s="9"/>
      <c r="M465" s="9"/>
    </row>
    <row r="466">
      <c r="A466" s="9"/>
      <c r="B466" s="9"/>
      <c r="D466" s="9"/>
      <c r="L466" s="9"/>
      <c r="M466" s="9"/>
    </row>
    <row r="467">
      <c r="A467" s="9"/>
      <c r="B467" s="9"/>
      <c r="D467" s="9"/>
      <c r="L467" s="9"/>
      <c r="M467" s="9"/>
    </row>
    <row r="468">
      <c r="A468" s="9"/>
      <c r="B468" s="9"/>
      <c r="D468" s="9"/>
      <c r="L468" s="9"/>
      <c r="M468" s="9"/>
    </row>
    <row r="469">
      <c r="A469" s="9"/>
      <c r="B469" s="9"/>
      <c r="D469" s="9"/>
      <c r="L469" s="9"/>
      <c r="M469" s="9"/>
    </row>
    <row r="470">
      <c r="A470" s="9"/>
      <c r="B470" s="9"/>
      <c r="D470" s="9"/>
      <c r="L470" s="9"/>
      <c r="M470" s="9"/>
    </row>
    <row r="471">
      <c r="A471" s="9"/>
      <c r="B471" s="9"/>
      <c r="D471" s="9"/>
      <c r="L471" s="9"/>
      <c r="M471" s="9"/>
    </row>
    <row r="472">
      <c r="A472" s="9"/>
      <c r="B472" s="9"/>
      <c r="D472" s="9"/>
      <c r="L472" s="9"/>
      <c r="M472" s="9"/>
    </row>
    <row r="473">
      <c r="A473" s="9"/>
      <c r="B473" s="9"/>
      <c r="D473" s="9"/>
      <c r="L473" s="9"/>
      <c r="M473" s="9"/>
    </row>
    <row r="474">
      <c r="A474" s="9"/>
      <c r="B474" s="9"/>
      <c r="D474" s="9"/>
      <c r="L474" s="9"/>
      <c r="M474" s="9"/>
    </row>
    <row r="475">
      <c r="A475" s="9"/>
      <c r="B475" s="9"/>
      <c r="D475" s="9"/>
      <c r="L475" s="9"/>
      <c r="M475" s="9"/>
    </row>
    <row r="476">
      <c r="A476" s="9"/>
      <c r="B476" s="9"/>
      <c r="D476" s="9"/>
      <c r="L476" s="9"/>
      <c r="M476" s="9"/>
    </row>
    <row r="477">
      <c r="A477" s="9"/>
      <c r="B477" s="9"/>
      <c r="D477" s="9"/>
      <c r="L477" s="9"/>
      <c r="M477" s="9"/>
    </row>
    <row r="478">
      <c r="A478" s="9"/>
      <c r="B478" s="9"/>
      <c r="D478" s="9"/>
      <c r="L478" s="9"/>
      <c r="M478" s="9"/>
    </row>
    <row r="479">
      <c r="A479" s="9"/>
      <c r="B479" s="9"/>
      <c r="D479" s="9"/>
      <c r="L479" s="9"/>
      <c r="M479" s="9"/>
    </row>
    <row r="480">
      <c r="A480" s="9"/>
      <c r="B480" s="9"/>
      <c r="D480" s="9"/>
      <c r="L480" s="9"/>
      <c r="M480" s="9"/>
    </row>
    <row r="481">
      <c r="A481" s="9"/>
      <c r="B481" s="9"/>
      <c r="D481" s="9"/>
      <c r="L481" s="9"/>
      <c r="M481" s="9"/>
    </row>
    <row r="482">
      <c r="A482" s="9"/>
      <c r="B482" s="9"/>
      <c r="D482" s="9"/>
      <c r="L482" s="9"/>
      <c r="M482" s="9"/>
    </row>
    <row r="483">
      <c r="A483" s="9"/>
      <c r="B483" s="9"/>
      <c r="D483" s="9"/>
      <c r="L483" s="9"/>
      <c r="M483" s="9"/>
    </row>
    <row r="484">
      <c r="A484" s="9"/>
      <c r="B484" s="9"/>
      <c r="D484" s="9"/>
      <c r="L484" s="9"/>
      <c r="M484" s="9"/>
    </row>
    <row r="485">
      <c r="A485" s="9"/>
      <c r="B485" s="9"/>
      <c r="D485" s="9"/>
      <c r="L485" s="9"/>
      <c r="M485" s="9"/>
    </row>
    <row r="486">
      <c r="A486" s="9"/>
      <c r="B486" s="9"/>
      <c r="D486" s="9"/>
      <c r="L486" s="9"/>
      <c r="M486" s="9"/>
    </row>
    <row r="487">
      <c r="A487" s="9"/>
      <c r="B487" s="9"/>
      <c r="D487" s="9"/>
      <c r="L487" s="9"/>
      <c r="M487" s="9"/>
    </row>
    <row r="488">
      <c r="A488" s="9"/>
      <c r="B488" s="9"/>
      <c r="D488" s="9"/>
      <c r="L488" s="9"/>
      <c r="M488" s="9"/>
    </row>
    <row r="489">
      <c r="A489" s="9"/>
      <c r="B489" s="9"/>
      <c r="D489" s="9"/>
      <c r="L489" s="9"/>
      <c r="M489" s="9"/>
    </row>
    <row r="490">
      <c r="A490" s="9"/>
      <c r="B490" s="9"/>
      <c r="D490" s="9"/>
      <c r="L490" s="9"/>
      <c r="M490" s="9"/>
    </row>
    <row r="491">
      <c r="A491" s="9"/>
      <c r="B491" s="9"/>
      <c r="D491" s="9"/>
      <c r="L491" s="9"/>
      <c r="M491" s="9"/>
    </row>
    <row r="492">
      <c r="A492" s="9"/>
      <c r="B492" s="9"/>
      <c r="D492" s="9"/>
      <c r="L492" s="9"/>
      <c r="M492" s="9"/>
    </row>
    <row r="493">
      <c r="A493" s="9"/>
      <c r="B493" s="9"/>
      <c r="D493" s="9"/>
      <c r="L493" s="9"/>
      <c r="M493" s="9"/>
    </row>
    <row r="494">
      <c r="A494" s="9"/>
      <c r="B494" s="9"/>
      <c r="D494" s="9"/>
      <c r="L494" s="9"/>
      <c r="M494" s="9"/>
    </row>
    <row r="495">
      <c r="A495" s="9"/>
      <c r="B495" s="9"/>
      <c r="D495" s="9"/>
      <c r="L495" s="9"/>
      <c r="M495" s="9"/>
    </row>
    <row r="496">
      <c r="A496" s="9"/>
      <c r="B496" s="9"/>
      <c r="D496" s="9"/>
      <c r="L496" s="9"/>
      <c r="M496" s="9"/>
    </row>
    <row r="497">
      <c r="A497" s="9"/>
      <c r="B497" s="9"/>
      <c r="D497" s="9"/>
      <c r="L497" s="9"/>
      <c r="M497" s="9"/>
    </row>
    <row r="498">
      <c r="A498" s="9"/>
      <c r="B498" s="9"/>
      <c r="D498" s="9"/>
      <c r="L498" s="9"/>
      <c r="M498" s="9"/>
    </row>
    <row r="499">
      <c r="A499" s="9"/>
      <c r="B499" s="9"/>
      <c r="D499" s="9"/>
      <c r="L499" s="9"/>
      <c r="M499" s="9"/>
    </row>
    <row r="500">
      <c r="A500" s="9"/>
      <c r="B500" s="9"/>
      <c r="D500" s="9"/>
      <c r="L500" s="9"/>
      <c r="M500" s="9"/>
    </row>
    <row r="501">
      <c r="A501" s="9"/>
      <c r="B501" s="9"/>
      <c r="D501" s="9"/>
      <c r="L501" s="9"/>
      <c r="M501" s="9"/>
    </row>
    <row r="502">
      <c r="A502" s="9"/>
      <c r="B502" s="9"/>
      <c r="D502" s="9"/>
      <c r="L502" s="9"/>
      <c r="M502" s="9"/>
    </row>
    <row r="503">
      <c r="A503" s="9"/>
      <c r="B503" s="9"/>
      <c r="D503" s="9"/>
      <c r="L503" s="9"/>
      <c r="M503" s="9"/>
    </row>
    <row r="504">
      <c r="A504" s="9"/>
      <c r="B504" s="9"/>
      <c r="D504" s="9"/>
      <c r="L504" s="9"/>
      <c r="M504" s="9"/>
    </row>
    <row r="505">
      <c r="A505" s="9"/>
      <c r="B505" s="9"/>
      <c r="D505" s="9"/>
      <c r="L505" s="9"/>
      <c r="M505" s="9"/>
    </row>
    <row r="506">
      <c r="A506" s="9"/>
      <c r="B506" s="9"/>
      <c r="D506" s="9"/>
      <c r="L506" s="9"/>
      <c r="M506" s="9"/>
    </row>
    <row r="507">
      <c r="A507" s="9"/>
      <c r="B507" s="9"/>
      <c r="D507" s="9"/>
      <c r="L507" s="9"/>
      <c r="M507" s="9"/>
    </row>
    <row r="508">
      <c r="A508" s="9"/>
      <c r="B508" s="9"/>
      <c r="D508" s="9"/>
      <c r="L508" s="9"/>
      <c r="M508" s="9"/>
    </row>
    <row r="509">
      <c r="A509" s="9"/>
      <c r="B509" s="9"/>
      <c r="D509" s="9"/>
      <c r="L509" s="9"/>
      <c r="M509" s="9"/>
    </row>
    <row r="510">
      <c r="A510" s="9"/>
      <c r="B510" s="9"/>
      <c r="D510" s="9"/>
      <c r="L510" s="9"/>
      <c r="M510" s="9"/>
    </row>
    <row r="511">
      <c r="A511" s="9"/>
      <c r="B511" s="9"/>
      <c r="D511" s="9"/>
      <c r="L511" s="9"/>
      <c r="M511" s="9"/>
    </row>
    <row r="512">
      <c r="A512" s="9"/>
      <c r="B512" s="9"/>
      <c r="D512" s="9"/>
      <c r="L512" s="9"/>
      <c r="M512" s="9"/>
    </row>
    <row r="513">
      <c r="A513" s="9"/>
      <c r="B513" s="9"/>
      <c r="D513" s="9"/>
      <c r="L513" s="9"/>
      <c r="M513" s="9"/>
    </row>
    <row r="514">
      <c r="A514" s="9"/>
      <c r="B514" s="9"/>
      <c r="D514" s="9"/>
      <c r="L514" s="9"/>
      <c r="M514" s="9"/>
    </row>
    <row r="515">
      <c r="A515" s="9"/>
      <c r="B515" s="9"/>
      <c r="D515" s="9"/>
      <c r="L515" s="9"/>
      <c r="M515" s="9"/>
    </row>
    <row r="516">
      <c r="A516" s="9"/>
      <c r="B516" s="9"/>
      <c r="D516" s="9"/>
      <c r="L516" s="9"/>
      <c r="M516" s="9"/>
    </row>
    <row r="517">
      <c r="A517" s="9"/>
      <c r="B517" s="9"/>
      <c r="D517" s="9"/>
      <c r="L517" s="9"/>
      <c r="M517" s="9"/>
    </row>
    <row r="518">
      <c r="A518" s="9"/>
      <c r="B518" s="9"/>
      <c r="D518" s="9"/>
      <c r="L518" s="9"/>
      <c r="M518" s="9"/>
    </row>
    <row r="519">
      <c r="A519" s="9"/>
      <c r="B519" s="9"/>
      <c r="D519" s="9"/>
      <c r="L519" s="9"/>
      <c r="M519" s="9"/>
    </row>
    <row r="520">
      <c r="A520" s="9"/>
      <c r="B520" s="9"/>
      <c r="D520" s="9"/>
      <c r="L520" s="9"/>
      <c r="M520" s="9"/>
    </row>
    <row r="521">
      <c r="A521" s="9"/>
      <c r="B521" s="9"/>
      <c r="D521" s="9"/>
      <c r="L521" s="9"/>
      <c r="M521" s="9"/>
    </row>
    <row r="522">
      <c r="A522" s="9"/>
      <c r="B522" s="9"/>
      <c r="D522" s="9"/>
      <c r="L522" s="9"/>
      <c r="M522" s="9"/>
    </row>
    <row r="523">
      <c r="A523" s="9"/>
      <c r="B523" s="9"/>
      <c r="D523" s="9"/>
      <c r="L523" s="9"/>
      <c r="M523" s="9"/>
    </row>
    <row r="524">
      <c r="A524" s="9"/>
      <c r="B524" s="9"/>
      <c r="D524" s="9"/>
      <c r="L524" s="9"/>
      <c r="M524" s="9"/>
    </row>
    <row r="525">
      <c r="A525" s="9"/>
      <c r="B525" s="9"/>
      <c r="D525" s="9"/>
      <c r="L525" s="9"/>
      <c r="M525" s="9"/>
    </row>
    <row r="526">
      <c r="A526" s="9"/>
      <c r="B526" s="9"/>
      <c r="D526" s="9"/>
      <c r="L526" s="9"/>
      <c r="M526" s="9"/>
    </row>
    <row r="527">
      <c r="A527" s="9"/>
      <c r="B527" s="9"/>
      <c r="D527" s="9"/>
      <c r="L527" s="9"/>
      <c r="M527" s="9"/>
    </row>
    <row r="528">
      <c r="A528" s="9"/>
      <c r="B528" s="9"/>
      <c r="D528" s="9"/>
      <c r="L528" s="9"/>
      <c r="M528" s="9"/>
    </row>
    <row r="529">
      <c r="A529" s="9"/>
      <c r="B529" s="9"/>
      <c r="D529" s="9"/>
      <c r="L529" s="9"/>
      <c r="M529" s="9"/>
    </row>
    <row r="530">
      <c r="A530" s="9"/>
      <c r="B530" s="9"/>
      <c r="D530" s="9"/>
      <c r="L530" s="9"/>
      <c r="M530" s="9"/>
    </row>
    <row r="531">
      <c r="A531" s="9"/>
      <c r="B531" s="9"/>
      <c r="D531" s="9"/>
      <c r="L531" s="9"/>
      <c r="M531" s="9"/>
    </row>
    <row r="532">
      <c r="A532" s="9"/>
      <c r="B532" s="9"/>
      <c r="D532" s="9"/>
      <c r="L532" s="9"/>
      <c r="M532" s="9"/>
    </row>
    <row r="533">
      <c r="A533" s="9"/>
      <c r="B533" s="9"/>
      <c r="D533" s="9"/>
      <c r="L533" s="9"/>
      <c r="M533" s="9"/>
    </row>
    <row r="534">
      <c r="A534" s="9"/>
      <c r="B534" s="9"/>
      <c r="D534" s="9"/>
      <c r="L534" s="9"/>
      <c r="M534" s="9"/>
    </row>
    <row r="535">
      <c r="A535" s="9"/>
      <c r="B535" s="9"/>
      <c r="D535" s="9"/>
      <c r="L535" s="9"/>
      <c r="M535" s="9"/>
    </row>
    <row r="536">
      <c r="A536" s="9"/>
      <c r="B536" s="9"/>
      <c r="D536" s="9"/>
      <c r="L536" s="9"/>
      <c r="M536" s="9"/>
    </row>
    <row r="537">
      <c r="A537" s="9"/>
      <c r="B537" s="9"/>
      <c r="D537" s="9"/>
      <c r="L537" s="9"/>
      <c r="M537" s="9"/>
    </row>
    <row r="538">
      <c r="A538" s="9"/>
      <c r="B538" s="9"/>
      <c r="D538" s="9"/>
      <c r="L538" s="9"/>
      <c r="M538" s="9"/>
    </row>
    <row r="539">
      <c r="A539" s="9"/>
      <c r="B539" s="9"/>
      <c r="D539" s="9"/>
      <c r="L539" s="9"/>
      <c r="M539" s="9"/>
    </row>
    <row r="540">
      <c r="A540" s="9"/>
      <c r="B540" s="9"/>
      <c r="D540" s="9"/>
      <c r="L540" s="9"/>
      <c r="M540" s="9"/>
    </row>
    <row r="541">
      <c r="A541" s="9"/>
      <c r="B541" s="9"/>
      <c r="D541" s="9"/>
      <c r="L541" s="9"/>
      <c r="M541" s="9"/>
    </row>
    <row r="542">
      <c r="A542" s="9"/>
      <c r="B542" s="9"/>
      <c r="D542" s="9"/>
      <c r="L542" s="9"/>
      <c r="M542" s="9"/>
    </row>
    <row r="543">
      <c r="A543" s="9"/>
      <c r="B543" s="9"/>
      <c r="D543" s="9"/>
      <c r="L543" s="9"/>
      <c r="M543" s="9"/>
    </row>
    <row r="544">
      <c r="A544" s="9"/>
      <c r="B544" s="9"/>
      <c r="D544" s="9"/>
      <c r="L544" s="9"/>
      <c r="M544" s="9"/>
    </row>
    <row r="545">
      <c r="A545" s="9"/>
      <c r="B545" s="9"/>
      <c r="D545" s="9"/>
      <c r="L545" s="9"/>
      <c r="M545" s="9"/>
    </row>
    <row r="546">
      <c r="A546" s="9"/>
      <c r="B546" s="9"/>
      <c r="D546" s="9"/>
      <c r="L546" s="9"/>
      <c r="M546" s="9"/>
    </row>
    <row r="547">
      <c r="A547" s="9"/>
      <c r="B547" s="9"/>
      <c r="D547" s="9"/>
      <c r="L547" s="9"/>
      <c r="M547" s="9"/>
    </row>
    <row r="548">
      <c r="A548" s="9"/>
      <c r="B548" s="9"/>
      <c r="D548" s="9"/>
      <c r="L548" s="9"/>
      <c r="M548" s="9"/>
    </row>
    <row r="549">
      <c r="A549" s="9"/>
      <c r="B549" s="9"/>
      <c r="D549" s="9"/>
      <c r="L549" s="9"/>
      <c r="M549" s="9"/>
    </row>
    <row r="550">
      <c r="A550" s="9"/>
      <c r="B550" s="9"/>
      <c r="D550" s="9"/>
      <c r="L550" s="9"/>
      <c r="M550" s="9"/>
    </row>
    <row r="551">
      <c r="A551" s="9"/>
      <c r="B551" s="9"/>
      <c r="D551" s="9"/>
      <c r="L551" s="9"/>
      <c r="M551" s="9"/>
    </row>
    <row r="552">
      <c r="A552" s="9"/>
      <c r="B552" s="9"/>
      <c r="D552" s="9"/>
      <c r="L552" s="9"/>
      <c r="M552" s="9"/>
    </row>
    <row r="553">
      <c r="A553" s="9"/>
      <c r="B553" s="9"/>
      <c r="D553" s="9"/>
      <c r="L553" s="9"/>
      <c r="M553" s="9"/>
    </row>
    <row r="554">
      <c r="A554" s="9"/>
      <c r="B554" s="9"/>
      <c r="D554" s="9"/>
      <c r="L554" s="9"/>
      <c r="M554" s="9"/>
    </row>
    <row r="555">
      <c r="A555" s="9"/>
      <c r="B555" s="9"/>
      <c r="D555" s="9"/>
      <c r="L555" s="9"/>
      <c r="M555" s="9"/>
    </row>
    <row r="556">
      <c r="A556" s="9"/>
      <c r="B556" s="9"/>
      <c r="D556" s="9"/>
      <c r="L556" s="9"/>
      <c r="M556" s="9"/>
    </row>
    <row r="557">
      <c r="A557" s="9"/>
      <c r="B557" s="9"/>
      <c r="D557" s="9"/>
      <c r="L557" s="9"/>
      <c r="M557" s="9"/>
    </row>
    <row r="558">
      <c r="A558" s="9"/>
      <c r="B558" s="9"/>
      <c r="D558" s="9"/>
      <c r="L558" s="9"/>
      <c r="M558" s="9"/>
    </row>
    <row r="559">
      <c r="A559" s="9"/>
      <c r="B559" s="9"/>
      <c r="D559" s="9"/>
      <c r="L559" s="9"/>
      <c r="M559" s="9"/>
    </row>
    <row r="560">
      <c r="A560" s="9"/>
      <c r="B560" s="9"/>
      <c r="D560" s="9"/>
      <c r="L560" s="9"/>
      <c r="M560" s="9"/>
    </row>
    <row r="561">
      <c r="A561" s="9"/>
      <c r="B561" s="9"/>
      <c r="D561" s="9"/>
      <c r="L561" s="9"/>
      <c r="M561" s="9"/>
    </row>
    <row r="562">
      <c r="A562" s="9"/>
      <c r="B562" s="9"/>
      <c r="D562" s="9"/>
      <c r="L562" s="9"/>
      <c r="M562" s="9"/>
    </row>
    <row r="563">
      <c r="A563" s="9"/>
      <c r="B563" s="9"/>
      <c r="D563" s="9"/>
      <c r="L563" s="9"/>
      <c r="M563" s="9"/>
    </row>
    <row r="564">
      <c r="A564" s="9"/>
      <c r="B564" s="9"/>
      <c r="D564" s="9"/>
      <c r="L564" s="9"/>
      <c r="M564" s="9"/>
    </row>
    <row r="565">
      <c r="A565" s="9"/>
      <c r="B565" s="9"/>
      <c r="D565" s="9"/>
      <c r="L565" s="9"/>
      <c r="M565" s="9"/>
    </row>
    <row r="566">
      <c r="A566" s="9"/>
      <c r="B566" s="9"/>
      <c r="D566" s="9"/>
      <c r="L566" s="9"/>
      <c r="M566" s="9"/>
    </row>
    <row r="567">
      <c r="A567" s="9"/>
      <c r="B567" s="9"/>
      <c r="D567" s="9"/>
      <c r="L567" s="9"/>
      <c r="M567" s="9"/>
    </row>
    <row r="568">
      <c r="A568" s="9"/>
      <c r="B568" s="9"/>
      <c r="D568" s="9"/>
      <c r="L568" s="9"/>
      <c r="M568" s="9"/>
    </row>
    <row r="569">
      <c r="A569" s="9"/>
      <c r="B569" s="9"/>
      <c r="D569" s="9"/>
      <c r="L569" s="9"/>
      <c r="M569" s="9"/>
    </row>
    <row r="570">
      <c r="A570" s="9"/>
      <c r="B570" s="9"/>
      <c r="D570" s="9"/>
      <c r="L570" s="9"/>
      <c r="M570" s="9"/>
    </row>
    <row r="571">
      <c r="A571" s="9"/>
      <c r="B571" s="9"/>
      <c r="D571" s="9"/>
      <c r="L571" s="9"/>
      <c r="M571" s="9"/>
    </row>
    <row r="572">
      <c r="A572" s="9"/>
      <c r="B572" s="9"/>
      <c r="D572" s="9"/>
      <c r="L572" s="9"/>
      <c r="M572" s="9"/>
    </row>
    <row r="573">
      <c r="A573" s="9"/>
      <c r="B573" s="9"/>
      <c r="D573" s="9"/>
      <c r="L573" s="9"/>
      <c r="M573" s="9"/>
    </row>
    <row r="574">
      <c r="A574" s="9"/>
      <c r="B574" s="9"/>
      <c r="D574" s="9"/>
      <c r="L574" s="9"/>
      <c r="M574" s="9"/>
    </row>
    <row r="575">
      <c r="A575" s="9"/>
      <c r="B575" s="9"/>
      <c r="D575" s="9"/>
      <c r="L575" s="9"/>
      <c r="M575" s="9"/>
    </row>
    <row r="576">
      <c r="A576" s="9"/>
      <c r="B576" s="9"/>
      <c r="D576" s="9"/>
      <c r="L576" s="9"/>
      <c r="M576" s="9"/>
    </row>
    <row r="577">
      <c r="A577" s="9"/>
      <c r="B577" s="9"/>
      <c r="D577" s="9"/>
      <c r="L577" s="9"/>
      <c r="M577" s="9"/>
    </row>
    <row r="578">
      <c r="A578" s="9"/>
      <c r="B578" s="9"/>
      <c r="D578" s="9"/>
      <c r="L578" s="9"/>
      <c r="M578" s="9"/>
    </row>
    <row r="579">
      <c r="A579" s="9"/>
      <c r="B579" s="9"/>
      <c r="D579" s="9"/>
      <c r="L579" s="9"/>
      <c r="M579" s="9"/>
    </row>
    <row r="580">
      <c r="A580" s="9"/>
      <c r="B580" s="9"/>
      <c r="D580" s="9"/>
      <c r="L580" s="9"/>
      <c r="M580" s="9"/>
    </row>
    <row r="581">
      <c r="A581" s="9"/>
      <c r="B581" s="9"/>
      <c r="D581" s="9"/>
      <c r="L581" s="9"/>
      <c r="M581" s="9"/>
    </row>
    <row r="582">
      <c r="A582" s="9"/>
      <c r="B582" s="9"/>
      <c r="D582" s="9"/>
      <c r="L582" s="9"/>
      <c r="M582" s="9"/>
    </row>
    <row r="583">
      <c r="A583" s="9"/>
      <c r="B583" s="9"/>
      <c r="D583" s="9"/>
      <c r="L583" s="9"/>
      <c r="M583" s="9"/>
    </row>
    <row r="584">
      <c r="A584" s="9"/>
      <c r="B584" s="9"/>
      <c r="D584" s="9"/>
      <c r="L584" s="9"/>
      <c r="M584" s="9"/>
    </row>
    <row r="585">
      <c r="A585" s="9"/>
      <c r="B585" s="9"/>
      <c r="D585" s="9"/>
      <c r="L585" s="9"/>
      <c r="M585" s="9"/>
    </row>
    <row r="586">
      <c r="A586" s="9"/>
      <c r="B586" s="9"/>
      <c r="D586" s="9"/>
      <c r="L586" s="9"/>
      <c r="M586" s="9"/>
    </row>
    <row r="587">
      <c r="A587" s="9"/>
      <c r="B587" s="9"/>
      <c r="D587" s="9"/>
      <c r="L587" s="9"/>
      <c r="M587" s="9"/>
    </row>
    <row r="588">
      <c r="A588" s="9"/>
      <c r="B588" s="9"/>
      <c r="D588" s="9"/>
      <c r="L588" s="9"/>
      <c r="M588" s="9"/>
    </row>
    <row r="589">
      <c r="A589" s="9"/>
      <c r="B589" s="9"/>
      <c r="D589" s="9"/>
      <c r="L589" s="9"/>
      <c r="M589" s="9"/>
    </row>
    <row r="590">
      <c r="A590" s="9"/>
      <c r="B590" s="9"/>
      <c r="D590" s="9"/>
      <c r="L590" s="9"/>
      <c r="M590" s="9"/>
    </row>
    <row r="591">
      <c r="A591" s="9"/>
      <c r="B591" s="9"/>
      <c r="D591" s="9"/>
      <c r="L591" s="9"/>
      <c r="M591" s="9"/>
    </row>
    <row r="592">
      <c r="A592" s="9"/>
      <c r="B592" s="9"/>
      <c r="D592" s="9"/>
      <c r="L592" s="9"/>
      <c r="M592" s="9"/>
    </row>
    <row r="593">
      <c r="A593" s="9"/>
      <c r="B593" s="9"/>
      <c r="D593" s="9"/>
      <c r="L593" s="9"/>
      <c r="M593" s="9"/>
    </row>
    <row r="594">
      <c r="A594" s="9"/>
      <c r="B594" s="9"/>
      <c r="D594" s="9"/>
      <c r="L594" s="9"/>
      <c r="M594" s="9"/>
    </row>
    <row r="595">
      <c r="A595" s="9"/>
      <c r="B595" s="9"/>
      <c r="D595" s="9"/>
      <c r="L595" s="9"/>
      <c r="M595" s="9"/>
    </row>
    <row r="596">
      <c r="A596" s="9"/>
      <c r="B596" s="9"/>
      <c r="D596" s="9"/>
      <c r="L596" s="9"/>
      <c r="M596" s="9"/>
    </row>
    <row r="597">
      <c r="A597" s="9"/>
      <c r="B597" s="9"/>
      <c r="D597" s="9"/>
      <c r="L597" s="9"/>
      <c r="M597" s="9"/>
    </row>
    <row r="598">
      <c r="A598" s="9"/>
      <c r="B598" s="9"/>
      <c r="D598" s="9"/>
      <c r="L598" s="9"/>
      <c r="M598" s="9"/>
    </row>
    <row r="599">
      <c r="A599" s="9"/>
      <c r="B599" s="9"/>
      <c r="D599" s="9"/>
      <c r="L599" s="9"/>
      <c r="M599" s="9"/>
    </row>
    <row r="600">
      <c r="A600" s="9"/>
      <c r="B600" s="9"/>
      <c r="D600" s="9"/>
      <c r="L600" s="9"/>
      <c r="M600" s="9"/>
    </row>
    <row r="601">
      <c r="A601" s="9"/>
      <c r="B601" s="9"/>
      <c r="D601" s="9"/>
      <c r="L601" s="9"/>
      <c r="M601" s="9"/>
    </row>
    <row r="602">
      <c r="A602" s="9"/>
      <c r="B602" s="9"/>
      <c r="D602" s="9"/>
      <c r="L602" s="9"/>
      <c r="M602" s="9"/>
    </row>
    <row r="603">
      <c r="A603" s="9"/>
      <c r="B603" s="9"/>
      <c r="D603" s="9"/>
      <c r="L603" s="9"/>
      <c r="M603" s="9"/>
    </row>
    <row r="604">
      <c r="A604" s="9"/>
      <c r="B604" s="9"/>
      <c r="D604" s="9"/>
      <c r="L604" s="9"/>
      <c r="M604" s="9"/>
    </row>
    <row r="605">
      <c r="A605" s="9"/>
      <c r="B605" s="9"/>
      <c r="D605" s="9"/>
      <c r="L605" s="9"/>
      <c r="M605" s="9"/>
    </row>
    <row r="606">
      <c r="A606" s="9"/>
      <c r="B606" s="9"/>
      <c r="D606" s="9"/>
      <c r="L606" s="9"/>
      <c r="M606" s="9"/>
    </row>
    <row r="607">
      <c r="A607" s="9"/>
      <c r="B607" s="9"/>
      <c r="D607" s="9"/>
      <c r="L607" s="9"/>
      <c r="M607" s="9"/>
    </row>
    <row r="608">
      <c r="A608" s="9"/>
      <c r="B608" s="9"/>
      <c r="D608" s="9"/>
      <c r="L608" s="9"/>
      <c r="M608" s="9"/>
    </row>
    <row r="609">
      <c r="A609" s="9"/>
      <c r="B609" s="9"/>
      <c r="D609" s="9"/>
      <c r="L609" s="9"/>
      <c r="M609" s="9"/>
    </row>
    <row r="610">
      <c r="A610" s="9"/>
      <c r="B610" s="9"/>
      <c r="D610" s="9"/>
      <c r="L610" s="9"/>
      <c r="M610" s="9"/>
    </row>
    <row r="611">
      <c r="A611" s="9"/>
      <c r="B611" s="9"/>
      <c r="D611" s="9"/>
      <c r="L611" s="9"/>
      <c r="M611" s="9"/>
    </row>
    <row r="612">
      <c r="A612" s="9"/>
      <c r="B612" s="9"/>
      <c r="D612" s="9"/>
      <c r="L612" s="9"/>
      <c r="M612" s="9"/>
    </row>
    <row r="613">
      <c r="A613" s="9"/>
      <c r="B613" s="9"/>
      <c r="D613" s="9"/>
      <c r="L613" s="9"/>
      <c r="M613" s="9"/>
    </row>
    <row r="614">
      <c r="A614" s="9"/>
      <c r="B614" s="9"/>
      <c r="D614" s="9"/>
      <c r="L614" s="9"/>
      <c r="M614" s="9"/>
    </row>
    <row r="615">
      <c r="A615" s="9"/>
      <c r="B615" s="9"/>
      <c r="D615" s="9"/>
      <c r="L615" s="9"/>
      <c r="M615" s="9"/>
    </row>
    <row r="616">
      <c r="A616" s="9"/>
      <c r="B616" s="9"/>
      <c r="D616" s="9"/>
      <c r="L616" s="9"/>
      <c r="M616" s="9"/>
    </row>
    <row r="617">
      <c r="A617" s="9"/>
      <c r="B617" s="9"/>
      <c r="D617" s="9"/>
      <c r="L617" s="9"/>
      <c r="M617" s="9"/>
    </row>
    <row r="618">
      <c r="A618" s="9"/>
      <c r="B618" s="9"/>
      <c r="D618" s="9"/>
      <c r="L618" s="9"/>
      <c r="M618" s="9"/>
    </row>
    <row r="619">
      <c r="A619" s="9"/>
      <c r="B619" s="9"/>
      <c r="D619" s="9"/>
      <c r="L619" s="9"/>
      <c r="M619" s="9"/>
    </row>
    <row r="620">
      <c r="A620" s="9"/>
      <c r="B620" s="9"/>
      <c r="D620" s="9"/>
      <c r="L620" s="9"/>
      <c r="M620" s="9"/>
    </row>
    <row r="621">
      <c r="A621" s="9"/>
      <c r="B621" s="9"/>
      <c r="D621" s="9"/>
      <c r="L621" s="9"/>
      <c r="M621" s="9"/>
    </row>
    <row r="622">
      <c r="A622" s="9"/>
      <c r="B622" s="9"/>
      <c r="D622" s="9"/>
      <c r="L622" s="9"/>
      <c r="M622" s="9"/>
    </row>
    <row r="623">
      <c r="A623" s="9"/>
      <c r="B623" s="9"/>
      <c r="D623" s="9"/>
      <c r="L623" s="9"/>
      <c r="M623" s="9"/>
    </row>
    <row r="624">
      <c r="A624" s="9"/>
      <c r="B624" s="9"/>
      <c r="D624" s="9"/>
      <c r="L624" s="9"/>
      <c r="M624" s="9"/>
    </row>
    <row r="625">
      <c r="A625" s="9"/>
      <c r="B625" s="9"/>
      <c r="D625" s="9"/>
      <c r="L625" s="9"/>
      <c r="M625" s="9"/>
    </row>
    <row r="626">
      <c r="A626" s="9"/>
      <c r="B626" s="9"/>
      <c r="D626" s="9"/>
      <c r="L626" s="9"/>
      <c r="M626" s="9"/>
    </row>
    <row r="627">
      <c r="A627" s="9"/>
      <c r="B627" s="9"/>
      <c r="D627" s="9"/>
      <c r="L627" s="9"/>
      <c r="M627" s="9"/>
    </row>
    <row r="628">
      <c r="A628" s="9"/>
      <c r="B628" s="9"/>
      <c r="D628" s="9"/>
      <c r="L628" s="9"/>
      <c r="M628" s="9"/>
    </row>
    <row r="629">
      <c r="A629" s="9"/>
      <c r="B629" s="9"/>
      <c r="D629" s="9"/>
      <c r="L629" s="9"/>
      <c r="M629" s="9"/>
    </row>
    <row r="630">
      <c r="A630" s="9"/>
      <c r="B630" s="9"/>
      <c r="D630" s="9"/>
      <c r="L630" s="9"/>
      <c r="M630" s="9"/>
    </row>
    <row r="631">
      <c r="A631" s="9"/>
      <c r="B631" s="9"/>
      <c r="D631" s="9"/>
      <c r="L631" s="9"/>
      <c r="M631" s="9"/>
    </row>
    <row r="632">
      <c r="A632" s="9"/>
      <c r="B632" s="9"/>
      <c r="D632" s="9"/>
      <c r="L632" s="9"/>
      <c r="M632" s="9"/>
    </row>
    <row r="633">
      <c r="A633" s="9"/>
      <c r="B633" s="9"/>
      <c r="D633" s="9"/>
      <c r="L633" s="9"/>
      <c r="M633" s="9"/>
    </row>
    <row r="634">
      <c r="A634" s="9"/>
      <c r="B634" s="9"/>
      <c r="D634" s="9"/>
      <c r="L634" s="9"/>
      <c r="M634" s="9"/>
    </row>
    <row r="635">
      <c r="A635" s="9"/>
      <c r="B635" s="9"/>
      <c r="D635" s="9"/>
      <c r="L635" s="9"/>
      <c r="M635" s="9"/>
    </row>
    <row r="636">
      <c r="A636" s="9"/>
      <c r="B636" s="9"/>
      <c r="D636" s="9"/>
      <c r="L636" s="9"/>
      <c r="M636" s="9"/>
    </row>
    <row r="637">
      <c r="A637" s="9"/>
      <c r="B637" s="9"/>
      <c r="D637" s="9"/>
      <c r="L637" s="9"/>
      <c r="M637" s="9"/>
    </row>
    <row r="638">
      <c r="A638" s="9"/>
      <c r="B638" s="9"/>
      <c r="D638" s="9"/>
      <c r="L638" s="9"/>
      <c r="M638" s="9"/>
    </row>
    <row r="639">
      <c r="A639" s="9"/>
      <c r="B639" s="9"/>
      <c r="D639" s="9"/>
      <c r="L639" s="9"/>
      <c r="M639" s="9"/>
    </row>
    <row r="640">
      <c r="A640" s="9"/>
      <c r="B640" s="9"/>
      <c r="D640" s="9"/>
      <c r="L640" s="9"/>
      <c r="M640" s="9"/>
    </row>
    <row r="641">
      <c r="A641" s="9"/>
      <c r="B641" s="9"/>
      <c r="D641" s="9"/>
      <c r="L641" s="9"/>
      <c r="M641" s="9"/>
    </row>
    <row r="642">
      <c r="A642" s="9"/>
      <c r="B642" s="9"/>
      <c r="D642" s="9"/>
      <c r="L642" s="9"/>
      <c r="M642" s="9"/>
    </row>
    <row r="643">
      <c r="A643" s="9"/>
      <c r="B643" s="9"/>
      <c r="D643" s="9"/>
      <c r="L643" s="9"/>
      <c r="M643" s="9"/>
    </row>
    <row r="644">
      <c r="A644" s="9"/>
      <c r="B644" s="9"/>
      <c r="D644" s="9"/>
      <c r="L644" s="9"/>
      <c r="M644" s="9"/>
    </row>
    <row r="645">
      <c r="A645" s="9"/>
      <c r="B645" s="9"/>
      <c r="D645" s="9"/>
      <c r="L645" s="9"/>
      <c r="M645" s="9"/>
    </row>
    <row r="646">
      <c r="A646" s="9"/>
      <c r="B646" s="9"/>
      <c r="D646" s="9"/>
      <c r="L646" s="9"/>
      <c r="M646" s="9"/>
    </row>
    <row r="647">
      <c r="A647" s="9"/>
      <c r="B647" s="9"/>
      <c r="D647" s="9"/>
      <c r="L647" s="9"/>
      <c r="M647" s="9"/>
    </row>
    <row r="648">
      <c r="A648" s="9"/>
      <c r="B648" s="9"/>
      <c r="D648" s="9"/>
      <c r="L648" s="9"/>
      <c r="M648" s="9"/>
    </row>
    <row r="649">
      <c r="A649" s="9"/>
      <c r="B649" s="9"/>
      <c r="D649" s="9"/>
      <c r="L649" s="9"/>
      <c r="M649" s="9"/>
    </row>
    <row r="650">
      <c r="A650" s="9"/>
      <c r="B650" s="9"/>
      <c r="D650" s="9"/>
      <c r="L650" s="9"/>
      <c r="M650" s="9"/>
    </row>
    <row r="651">
      <c r="A651" s="9"/>
      <c r="B651" s="9"/>
      <c r="D651" s="9"/>
      <c r="L651" s="9"/>
      <c r="M651" s="9"/>
    </row>
    <row r="652">
      <c r="A652" s="9"/>
      <c r="B652" s="9"/>
      <c r="D652" s="9"/>
      <c r="L652" s="9"/>
      <c r="M652" s="9"/>
    </row>
    <row r="653">
      <c r="A653" s="9"/>
      <c r="B653" s="9"/>
      <c r="D653" s="9"/>
      <c r="L653" s="9"/>
      <c r="M653" s="9"/>
    </row>
    <row r="654">
      <c r="A654" s="9"/>
      <c r="B654" s="9"/>
      <c r="D654" s="9"/>
      <c r="L654" s="9"/>
      <c r="M654" s="9"/>
    </row>
    <row r="655">
      <c r="A655" s="9"/>
      <c r="B655" s="9"/>
      <c r="D655" s="9"/>
      <c r="L655" s="9"/>
      <c r="M655" s="9"/>
    </row>
    <row r="656">
      <c r="A656" s="9"/>
      <c r="B656" s="9"/>
      <c r="D656" s="9"/>
      <c r="L656" s="9"/>
      <c r="M656" s="9"/>
    </row>
    <row r="657">
      <c r="A657" s="9"/>
      <c r="B657" s="9"/>
      <c r="D657" s="9"/>
      <c r="L657" s="9"/>
      <c r="M657" s="9"/>
    </row>
    <row r="658">
      <c r="A658" s="9"/>
      <c r="B658" s="9"/>
      <c r="D658" s="9"/>
      <c r="L658" s="9"/>
      <c r="M658" s="9"/>
    </row>
    <row r="659">
      <c r="A659" s="9"/>
      <c r="B659" s="9"/>
      <c r="D659" s="9"/>
      <c r="L659" s="9"/>
      <c r="M659" s="9"/>
    </row>
    <row r="660">
      <c r="A660" s="9"/>
      <c r="B660" s="9"/>
      <c r="D660" s="9"/>
      <c r="L660" s="9"/>
      <c r="M660" s="9"/>
    </row>
    <row r="661">
      <c r="A661" s="9"/>
      <c r="B661" s="9"/>
      <c r="D661" s="9"/>
      <c r="L661" s="9"/>
      <c r="M661" s="9"/>
    </row>
    <row r="662">
      <c r="A662" s="9"/>
      <c r="B662" s="9"/>
      <c r="D662" s="9"/>
      <c r="L662" s="9"/>
      <c r="M662" s="9"/>
    </row>
    <row r="663">
      <c r="A663" s="9"/>
      <c r="B663" s="9"/>
      <c r="D663" s="9"/>
      <c r="L663" s="9"/>
      <c r="M663" s="9"/>
    </row>
    <row r="664">
      <c r="A664" s="9"/>
      <c r="B664" s="9"/>
      <c r="D664" s="9"/>
      <c r="L664" s="9"/>
      <c r="M664" s="9"/>
    </row>
    <row r="665">
      <c r="A665" s="9"/>
      <c r="B665" s="9"/>
      <c r="D665" s="9"/>
      <c r="L665" s="9"/>
      <c r="M665" s="9"/>
    </row>
    <row r="666">
      <c r="A666" s="9"/>
      <c r="B666" s="9"/>
      <c r="D666" s="9"/>
      <c r="L666" s="9"/>
      <c r="M666" s="9"/>
    </row>
    <row r="667">
      <c r="A667" s="9"/>
      <c r="B667" s="9"/>
      <c r="D667" s="9"/>
      <c r="L667" s="9"/>
      <c r="M667" s="9"/>
    </row>
    <row r="668">
      <c r="A668" s="9"/>
      <c r="B668" s="9"/>
      <c r="D668" s="9"/>
      <c r="L668" s="9"/>
      <c r="M668" s="9"/>
    </row>
    <row r="669">
      <c r="A669" s="9"/>
      <c r="B669" s="9"/>
      <c r="D669" s="9"/>
      <c r="L669" s="9"/>
      <c r="M669" s="9"/>
    </row>
    <row r="670">
      <c r="A670" s="9"/>
      <c r="B670" s="9"/>
      <c r="D670" s="9"/>
      <c r="L670" s="9"/>
      <c r="M670" s="9"/>
    </row>
    <row r="671">
      <c r="A671" s="9"/>
      <c r="B671" s="9"/>
      <c r="D671" s="9"/>
      <c r="L671" s="9"/>
      <c r="M671" s="9"/>
    </row>
    <row r="672">
      <c r="A672" s="9"/>
      <c r="B672" s="9"/>
      <c r="D672" s="9"/>
      <c r="L672" s="9"/>
      <c r="M672" s="9"/>
    </row>
    <row r="673">
      <c r="A673" s="9"/>
      <c r="B673" s="9"/>
      <c r="D673" s="9"/>
      <c r="L673" s="9"/>
      <c r="M673" s="9"/>
    </row>
    <row r="674">
      <c r="A674" s="9"/>
      <c r="B674" s="9"/>
      <c r="D674" s="9"/>
      <c r="L674" s="9"/>
      <c r="M674" s="9"/>
    </row>
    <row r="675">
      <c r="A675" s="9"/>
      <c r="B675" s="9"/>
      <c r="D675" s="9"/>
      <c r="L675" s="9"/>
      <c r="M675" s="9"/>
    </row>
    <row r="676">
      <c r="A676" s="9"/>
      <c r="B676" s="9"/>
      <c r="D676" s="9"/>
      <c r="L676" s="9"/>
      <c r="M676" s="9"/>
    </row>
    <row r="677">
      <c r="A677" s="9"/>
      <c r="B677" s="9"/>
      <c r="D677" s="9"/>
      <c r="L677" s="9"/>
      <c r="M677" s="9"/>
    </row>
    <row r="678">
      <c r="A678" s="9"/>
      <c r="B678" s="9"/>
      <c r="D678" s="9"/>
      <c r="L678" s="9"/>
      <c r="M678" s="9"/>
    </row>
    <row r="679">
      <c r="A679" s="9"/>
      <c r="B679" s="9"/>
      <c r="D679" s="9"/>
      <c r="L679" s="9"/>
      <c r="M679" s="9"/>
    </row>
    <row r="680">
      <c r="A680" s="9"/>
      <c r="B680" s="9"/>
      <c r="D680" s="9"/>
      <c r="L680" s="9"/>
      <c r="M680" s="9"/>
    </row>
    <row r="681">
      <c r="A681" s="9"/>
      <c r="B681" s="9"/>
      <c r="D681" s="9"/>
      <c r="L681" s="9"/>
      <c r="M681" s="9"/>
    </row>
    <row r="682">
      <c r="A682" s="9"/>
      <c r="B682" s="9"/>
      <c r="D682" s="9"/>
      <c r="L682" s="9"/>
      <c r="M682" s="9"/>
    </row>
    <row r="683">
      <c r="A683" s="9"/>
      <c r="B683" s="9"/>
      <c r="D683" s="9"/>
      <c r="L683" s="9"/>
      <c r="M683" s="9"/>
    </row>
    <row r="684">
      <c r="A684" s="9"/>
      <c r="B684" s="9"/>
      <c r="D684" s="9"/>
      <c r="L684" s="9"/>
      <c r="M684" s="9"/>
    </row>
    <row r="685">
      <c r="A685" s="9"/>
      <c r="B685" s="9"/>
      <c r="D685" s="9"/>
      <c r="L685" s="9"/>
      <c r="M685" s="9"/>
    </row>
    <row r="686">
      <c r="A686" s="9"/>
      <c r="B686" s="9"/>
      <c r="D686" s="9"/>
      <c r="L686" s="9"/>
      <c r="M686" s="9"/>
    </row>
    <row r="687">
      <c r="A687" s="9"/>
      <c r="B687" s="9"/>
      <c r="D687" s="9"/>
      <c r="L687" s="9"/>
      <c r="M687" s="9"/>
    </row>
    <row r="688">
      <c r="A688" s="9"/>
      <c r="B688" s="9"/>
      <c r="D688" s="9"/>
      <c r="L688" s="9"/>
      <c r="M688" s="9"/>
    </row>
    <row r="689">
      <c r="A689" s="9"/>
      <c r="B689" s="9"/>
      <c r="D689" s="9"/>
      <c r="L689" s="9"/>
      <c r="M689" s="9"/>
    </row>
    <row r="690">
      <c r="A690" s="9"/>
      <c r="B690" s="9"/>
      <c r="D690" s="9"/>
      <c r="L690" s="9"/>
      <c r="M690" s="9"/>
    </row>
    <row r="691">
      <c r="A691" s="9"/>
      <c r="B691" s="9"/>
      <c r="D691" s="9"/>
      <c r="L691" s="9"/>
      <c r="M691" s="9"/>
    </row>
    <row r="692">
      <c r="A692" s="9"/>
      <c r="B692" s="9"/>
      <c r="D692" s="9"/>
      <c r="L692" s="9"/>
      <c r="M692" s="9"/>
    </row>
    <row r="693">
      <c r="A693" s="9"/>
      <c r="B693" s="9"/>
      <c r="D693" s="9"/>
      <c r="L693" s="9"/>
      <c r="M693" s="9"/>
    </row>
    <row r="694">
      <c r="A694" s="9"/>
      <c r="B694" s="9"/>
      <c r="D694" s="9"/>
      <c r="L694" s="9"/>
      <c r="M694" s="9"/>
    </row>
    <row r="695">
      <c r="A695" s="9"/>
      <c r="B695" s="9"/>
      <c r="D695" s="9"/>
      <c r="L695" s="9"/>
      <c r="M695" s="9"/>
    </row>
    <row r="696">
      <c r="A696" s="9"/>
      <c r="B696" s="9"/>
      <c r="D696" s="9"/>
      <c r="L696" s="9"/>
      <c r="M696" s="9"/>
    </row>
    <row r="697">
      <c r="A697" s="9"/>
      <c r="B697" s="9"/>
      <c r="D697" s="9"/>
      <c r="L697" s="9"/>
      <c r="M697" s="9"/>
    </row>
    <row r="698">
      <c r="A698" s="9"/>
      <c r="B698" s="9"/>
      <c r="D698" s="9"/>
      <c r="L698" s="9"/>
      <c r="M698" s="9"/>
    </row>
    <row r="699">
      <c r="A699" s="9"/>
      <c r="B699" s="9"/>
      <c r="D699" s="9"/>
      <c r="L699" s="9"/>
      <c r="M699" s="9"/>
    </row>
    <row r="700">
      <c r="A700" s="9"/>
      <c r="B700" s="9"/>
      <c r="D700" s="9"/>
      <c r="L700" s="9"/>
      <c r="M700" s="9"/>
    </row>
    <row r="701">
      <c r="A701" s="9"/>
      <c r="B701" s="9"/>
      <c r="D701" s="9"/>
      <c r="L701" s="9"/>
      <c r="M701" s="9"/>
    </row>
    <row r="702">
      <c r="A702" s="9"/>
      <c r="B702" s="9"/>
      <c r="D702" s="9"/>
      <c r="L702" s="9"/>
      <c r="M702" s="9"/>
    </row>
    <row r="703">
      <c r="A703" s="9"/>
      <c r="B703" s="9"/>
      <c r="D703" s="9"/>
      <c r="L703" s="9"/>
      <c r="M703" s="9"/>
    </row>
    <row r="704">
      <c r="A704" s="9"/>
      <c r="B704" s="9"/>
      <c r="D704" s="9"/>
      <c r="L704" s="9"/>
      <c r="M704" s="9"/>
    </row>
    <row r="705">
      <c r="A705" s="9"/>
      <c r="B705" s="9"/>
      <c r="D705" s="9"/>
      <c r="L705" s="9"/>
      <c r="M705" s="9"/>
    </row>
    <row r="706">
      <c r="A706" s="9"/>
      <c r="B706" s="9"/>
      <c r="D706" s="9"/>
      <c r="L706" s="9"/>
      <c r="M706" s="9"/>
    </row>
    <row r="707">
      <c r="A707" s="9"/>
      <c r="B707" s="9"/>
      <c r="D707" s="9"/>
      <c r="L707" s="9"/>
      <c r="M707" s="9"/>
    </row>
    <row r="708">
      <c r="A708" s="9"/>
      <c r="B708" s="9"/>
      <c r="D708" s="9"/>
      <c r="L708" s="9"/>
      <c r="M708" s="9"/>
    </row>
    <row r="709">
      <c r="A709" s="9"/>
      <c r="B709" s="9"/>
      <c r="D709" s="9"/>
      <c r="L709" s="9"/>
      <c r="M709" s="9"/>
    </row>
    <row r="710">
      <c r="A710" s="9"/>
      <c r="B710" s="9"/>
      <c r="D710" s="9"/>
      <c r="L710" s="9"/>
      <c r="M710" s="9"/>
    </row>
    <row r="711">
      <c r="A711" s="9"/>
      <c r="B711" s="9"/>
      <c r="D711" s="9"/>
      <c r="L711" s="9"/>
      <c r="M711" s="9"/>
    </row>
    <row r="712">
      <c r="A712" s="9"/>
      <c r="B712" s="9"/>
      <c r="D712" s="9"/>
      <c r="L712" s="9"/>
      <c r="M712" s="9"/>
    </row>
    <row r="713">
      <c r="A713" s="9"/>
      <c r="B713" s="9"/>
      <c r="D713" s="9"/>
      <c r="L713" s="9"/>
      <c r="M713" s="9"/>
    </row>
    <row r="714">
      <c r="A714" s="9"/>
      <c r="B714" s="9"/>
      <c r="D714" s="9"/>
      <c r="L714" s="9"/>
      <c r="M714" s="9"/>
    </row>
    <row r="715">
      <c r="A715" s="9"/>
      <c r="B715" s="9"/>
      <c r="D715" s="9"/>
      <c r="L715" s="9"/>
      <c r="M715" s="9"/>
    </row>
    <row r="716">
      <c r="A716" s="9"/>
      <c r="B716" s="9"/>
      <c r="D716" s="9"/>
      <c r="L716" s="9"/>
      <c r="M716" s="9"/>
    </row>
    <row r="717">
      <c r="A717" s="9"/>
      <c r="B717" s="9"/>
      <c r="D717" s="9"/>
      <c r="L717" s="9"/>
      <c r="M717" s="9"/>
    </row>
    <row r="718">
      <c r="A718" s="9"/>
      <c r="B718" s="9"/>
      <c r="D718" s="9"/>
      <c r="L718" s="9"/>
      <c r="M718" s="9"/>
    </row>
    <row r="719">
      <c r="A719" s="9"/>
      <c r="B719" s="9"/>
      <c r="D719" s="9"/>
      <c r="L719" s="9"/>
      <c r="M719" s="9"/>
    </row>
    <row r="720">
      <c r="A720" s="9"/>
      <c r="B720" s="9"/>
      <c r="D720" s="9"/>
      <c r="L720" s="9"/>
      <c r="M720" s="9"/>
    </row>
    <row r="721">
      <c r="A721" s="9"/>
      <c r="B721" s="9"/>
      <c r="D721" s="9"/>
      <c r="L721" s="9"/>
      <c r="M721" s="9"/>
    </row>
    <row r="722">
      <c r="A722" s="9"/>
      <c r="B722" s="9"/>
      <c r="D722" s="9"/>
      <c r="L722" s="9"/>
      <c r="M722" s="9"/>
    </row>
    <row r="723">
      <c r="A723" s="9"/>
      <c r="B723" s="9"/>
      <c r="D723" s="9"/>
      <c r="L723" s="9"/>
      <c r="M723" s="9"/>
    </row>
    <row r="724">
      <c r="A724" s="9"/>
      <c r="B724" s="9"/>
      <c r="D724" s="9"/>
      <c r="L724" s="9"/>
      <c r="M724" s="9"/>
    </row>
    <row r="725">
      <c r="A725" s="9"/>
      <c r="B725" s="9"/>
      <c r="D725" s="9"/>
      <c r="L725" s="9"/>
      <c r="M725" s="9"/>
    </row>
    <row r="726">
      <c r="A726" s="9"/>
      <c r="B726" s="9"/>
      <c r="D726" s="9"/>
      <c r="L726" s="9"/>
      <c r="M726" s="9"/>
    </row>
    <row r="727">
      <c r="A727" s="9"/>
      <c r="B727" s="9"/>
      <c r="D727" s="9"/>
      <c r="L727" s="9"/>
      <c r="M727" s="9"/>
    </row>
    <row r="728">
      <c r="A728" s="9"/>
      <c r="B728" s="9"/>
      <c r="D728" s="9"/>
      <c r="L728" s="9"/>
      <c r="M728" s="9"/>
    </row>
    <row r="729">
      <c r="A729" s="9"/>
      <c r="B729" s="9"/>
      <c r="D729" s="9"/>
      <c r="L729" s="9"/>
      <c r="M729" s="9"/>
    </row>
    <row r="730">
      <c r="A730" s="9"/>
      <c r="B730" s="9"/>
      <c r="D730" s="9"/>
      <c r="L730" s="9"/>
      <c r="M730" s="9"/>
    </row>
    <row r="731">
      <c r="A731" s="9"/>
      <c r="B731" s="9"/>
      <c r="D731" s="9"/>
      <c r="L731" s="9"/>
      <c r="M731" s="9"/>
    </row>
    <row r="732">
      <c r="A732" s="9"/>
      <c r="B732" s="9"/>
      <c r="D732" s="9"/>
      <c r="L732" s="9"/>
      <c r="M732" s="9"/>
    </row>
    <row r="733">
      <c r="A733" s="9"/>
      <c r="B733" s="9"/>
      <c r="D733" s="9"/>
      <c r="L733" s="9"/>
      <c r="M733" s="9"/>
    </row>
    <row r="734">
      <c r="A734" s="9"/>
      <c r="B734" s="9"/>
      <c r="D734" s="9"/>
      <c r="L734" s="9"/>
      <c r="M734" s="9"/>
    </row>
    <row r="735">
      <c r="A735" s="9"/>
      <c r="B735" s="9"/>
      <c r="D735" s="9"/>
      <c r="L735" s="9"/>
      <c r="M735" s="9"/>
    </row>
    <row r="736">
      <c r="A736" s="9"/>
      <c r="B736" s="9"/>
      <c r="D736" s="9"/>
      <c r="L736" s="9"/>
      <c r="M736" s="9"/>
    </row>
    <row r="737">
      <c r="A737" s="9"/>
      <c r="B737" s="9"/>
      <c r="D737" s="9"/>
      <c r="L737" s="9"/>
      <c r="M737" s="9"/>
    </row>
    <row r="738">
      <c r="A738" s="9"/>
      <c r="B738" s="9"/>
      <c r="D738" s="9"/>
      <c r="L738" s="9"/>
      <c r="M738" s="9"/>
    </row>
    <row r="739">
      <c r="A739" s="9"/>
      <c r="B739" s="9"/>
      <c r="D739" s="9"/>
      <c r="L739" s="9"/>
      <c r="M739" s="9"/>
    </row>
    <row r="740">
      <c r="A740" s="9"/>
      <c r="B740" s="9"/>
      <c r="D740" s="9"/>
      <c r="L740" s="9"/>
      <c r="M740" s="9"/>
    </row>
    <row r="741">
      <c r="A741" s="9"/>
      <c r="B741" s="9"/>
      <c r="D741" s="9"/>
      <c r="L741" s="9"/>
      <c r="M741" s="9"/>
    </row>
    <row r="742">
      <c r="A742" s="9"/>
      <c r="B742" s="9"/>
      <c r="D742" s="9"/>
      <c r="L742" s="9"/>
      <c r="M742" s="9"/>
    </row>
    <row r="743">
      <c r="A743" s="9"/>
      <c r="B743" s="9"/>
      <c r="D743" s="9"/>
      <c r="L743" s="9"/>
      <c r="M743" s="9"/>
    </row>
    <row r="744">
      <c r="A744" s="9"/>
      <c r="B744" s="9"/>
      <c r="D744" s="9"/>
      <c r="L744" s="9"/>
      <c r="M744" s="9"/>
    </row>
    <row r="745">
      <c r="A745" s="9"/>
      <c r="B745" s="9"/>
      <c r="D745" s="9"/>
      <c r="L745" s="9"/>
      <c r="M745" s="9"/>
    </row>
    <row r="746">
      <c r="A746" s="9"/>
      <c r="B746" s="9"/>
      <c r="D746" s="9"/>
      <c r="L746" s="9"/>
      <c r="M746" s="9"/>
    </row>
    <row r="747">
      <c r="A747" s="9"/>
      <c r="B747" s="9"/>
      <c r="D747" s="9"/>
      <c r="L747" s="9"/>
      <c r="M747" s="9"/>
    </row>
    <row r="748">
      <c r="A748" s="9"/>
      <c r="B748" s="9"/>
      <c r="D748" s="9"/>
      <c r="L748" s="9"/>
      <c r="M748" s="9"/>
    </row>
    <row r="749">
      <c r="A749" s="9"/>
      <c r="B749" s="9"/>
      <c r="D749" s="9"/>
      <c r="L749" s="9"/>
      <c r="M749" s="9"/>
    </row>
    <row r="750">
      <c r="A750" s="9"/>
      <c r="B750" s="9"/>
      <c r="D750" s="9"/>
      <c r="L750" s="9"/>
      <c r="M750" s="9"/>
    </row>
    <row r="751">
      <c r="A751" s="9"/>
      <c r="B751" s="9"/>
      <c r="D751" s="9"/>
      <c r="L751" s="9"/>
      <c r="M751" s="9"/>
    </row>
    <row r="752">
      <c r="A752" s="9"/>
      <c r="B752" s="9"/>
      <c r="D752" s="9"/>
      <c r="L752" s="9"/>
      <c r="M752" s="9"/>
    </row>
    <row r="753">
      <c r="A753" s="9"/>
      <c r="B753" s="9"/>
      <c r="D753" s="9"/>
      <c r="L753" s="9"/>
      <c r="M753" s="9"/>
    </row>
    <row r="754">
      <c r="A754" s="9"/>
      <c r="B754" s="9"/>
      <c r="D754" s="9"/>
      <c r="L754" s="9"/>
      <c r="M754" s="9"/>
    </row>
    <row r="755">
      <c r="A755" s="9"/>
      <c r="B755" s="9"/>
      <c r="D755" s="9"/>
      <c r="L755" s="9"/>
      <c r="M755" s="9"/>
    </row>
    <row r="756">
      <c r="A756" s="9"/>
      <c r="B756" s="9"/>
      <c r="D756" s="9"/>
      <c r="L756" s="9"/>
      <c r="M756" s="9"/>
    </row>
    <row r="757">
      <c r="A757" s="9"/>
      <c r="B757" s="9"/>
      <c r="D757" s="9"/>
      <c r="L757" s="9"/>
      <c r="M757" s="9"/>
    </row>
    <row r="758">
      <c r="A758" s="9"/>
      <c r="B758" s="9"/>
      <c r="D758" s="9"/>
      <c r="L758" s="9"/>
      <c r="M758" s="9"/>
    </row>
    <row r="759">
      <c r="A759" s="9"/>
      <c r="B759" s="9"/>
      <c r="D759" s="9"/>
      <c r="L759" s="9"/>
      <c r="M759" s="9"/>
    </row>
    <row r="760">
      <c r="A760" s="9"/>
      <c r="B760" s="9"/>
      <c r="D760" s="9"/>
      <c r="L760" s="9"/>
      <c r="M760" s="9"/>
    </row>
    <row r="761">
      <c r="A761" s="9"/>
      <c r="B761" s="9"/>
      <c r="D761" s="9"/>
      <c r="L761" s="9"/>
      <c r="M761" s="9"/>
    </row>
    <row r="762">
      <c r="A762" s="9"/>
      <c r="B762" s="9"/>
      <c r="D762" s="9"/>
      <c r="L762" s="9"/>
      <c r="M762" s="9"/>
    </row>
    <row r="763">
      <c r="A763" s="9"/>
      <c r="B763" s="9"/>
      <c r="D763" s="9"/>
      <c r="L763" s="9"/>
      <c r="M763" s="9"/>
    </row>
    <row r="764">
      <c r="A764" s="9"/>
      <c r="B764" s="9"/>
      <c r="D764" s="9"/>
      <c r="L764" s="9"/>
      <c r="M764" s="9"/>
    </row>
    <row r="765">
      <c r="A765" s="9"/>
      <c r="B765" s="9"/>
      <c r="D765" s="9"/>
      <c r="L765" s="9"/>
      <c r="M765" s="9"/>
    </row>
    <row r="766">
      <c r="A766" s="9"/>
      <c r="B766" s="9"/>
      <c r="D766" s="9"/>
      <c r="L766" s="9"/>
      <c r="M766" s="9"/>
    </row>
    <row r="767">
      <c r="A767" s="9"/>
      <c r="B767" s="9"/>
      <c r="D767" s="9"/>
      <c r="L767" s="9"/>
      <c r="M767" s="9"/>
    </row>
    <row r="768">
      <c r="A768" s="9"/>
      <c r="B768" s="9"/>
      <c r="D768" s="9"/>
      <c r="L768" s="9"/>
      <c r="M768" s="9"/>
    </row>
    <row r="769">
      <c r="A769" s="9"/>
      <c r="B769" s="9"/>
      <c r="D769" s="9"/>
      <c r="L769" s="9"/>
      <c r="M769" s="9"/>
    </row>
    <row r="770">
      <c r="A770" s="9"/>
      <c r="B770" s="9"/>
      <c r="D770" s="9"/>
      <c r="L770" s="9"/>
      <c r="M770" s="9"/>
    </row>
    <row r="771">
      <c r="A771" s="9"/>
      <c r="B771" s="9"/>
      <c r="D771" s="9"/>
      <c r="L771" s="9"/>
      <c r="M771" s="9"/>
    </row>
    <row r="772">
      <c r="A772" s="9"/>
      <c r="B772" s="9"/>
      <c r="D772" s="9"/>
      <c r="L772" s="9"/>
      <c r="M772" s="9"/>
    </row>
    <row r="773">
      <c r="A773" s="9"/>
      <c r="B773" s="9"/>
      <c r="D773" s="9"/>
      <c r="L773" s="9"/>
      <c r="M773" s="9"/>
    </row>
    <row r="774">
      <c r="A774" s="9"/>
      <c r="B774" s="9"/>
      <c r="D774" s="9"/>
      <c r="L774" s="9"/>
      <c r="M774" s="9"/>
    </row>
    <row r="775">
      <c r="A775" s="9"/>
      <c r="B775" s="9"/>
      <c r="D775" s="9"/>
      <c r="L775" s="9"/>
      <c r="M775" s="9"/>
    </row>
    <row r="776">
      <c r="A776" s="9"/>
      <c r="B776" s="9"/>
      <c r="D776" s="9"/>
      <c r="L776" s="9"/>
      <c r="M776" s="9"/>
    </row>
    <row r="777">
      <c r="A777" s="9"/>
      <c r="B777" s="9"/>
      <c r="D777" s="9"/>
      <c r="L777" s="9"/>
      <c r="M777" s="9"/>
    </row>
    <row r="778">
      <c r="A778" s="9"/>
      <c r="B778" s="9"/>
      <c r="D778" s="9"/>
      <c r="L778" s="9"/>
      <c r="M778" s="9"/>
    </row>
    <row r="779">
      <c r="A779" s="9"/>
      <c r="B779" s="9"/>
      <c r="D779" s="9"/>
      <c r="L779" s="9"/>
      <c r="M779" s="9"/>
    </row>
    <row r="780">
      <c r="A780" s="9"/>
      <c r="B780" s="9"/>
      <c r="D780" s="9"/>
      <c r="L780" s="9"/>
      <c r="M780" s="9"/>
    </row>
    <row r="781">
      <c r="A781" s="9"/>
      <c r="B781" s="9"/>
      <c r="D781" s="9"/>
      <c r="L781" s="9"/>
      <c r="M781" s="9"/>
    </row>
    <row r="782">
      <c r="A782" s="9"/>
      <c r="B782" s="9"/>
      <c r="D782" s="9"/>
      <c r="L782" s="9"/>
      <c r="M782" s="9"/>
    </row>
    <row r="783">
      <c r="A783" s="9"/>
      <c r="B783" s="9"/>
      <c r="D783" s="9"/>
      <c r="L783" s="9"/>
      <c r="M783" s="9"/>
    </row>
    <row r="784">
      <c r="A784" s="9"/>
      <c r="B784" s="9"/>
      <c r="D784" s="9"/>
      <c r="L784" s="9"/>
      <c r="M784" s="9"/>
    </row>
    <row r="785">
      <c r="A785" s="9"/>
      <c r="B785" s="9"/>
      <c r="D785" s="9"/>
      <c r="L785" s="9"/>
      <c r="M785" s="9"/>
    </row>
    <row r="786">
      <c r="A786" s="9"/>
      <c r="B786" s="9"/>
      <c r="D786" s="9"/>
      <c r="L786" s="9"/>
      <c r="M786" s="9"/>
    </row>
    <row r="787">
      <c r="A787" s="9"/>
      <c r="B787" s="9"/>
      <c r="D787" s="9"/>
      <c r="L787" s="9"/>
      <c r="M787" s="9"/>
    </row>
    <row r="788">
      <c r="A788" s="9"/>
      <c r="B788" s="9"/>
      <c r="D788" s="9"/>
      <c r="L788" s="9"/>
      <c r="M788" s="9"/>
    </row>
    <row r="789">
      <c r="A789" s="9"/>
      <c r="B789" s="9"/>
      <c r="D789" s="9"/>
      <c r="L789" s="9"/>
      <c r="M789" s="9"/>
    </row>
    <row r="790">
      <c r="A790" s="9"/>
      <c r="B790" s="9"/>
      <c r="D790" s="9"/>
      <c r="L790" s="9"/>
      <c r="M790" s="9"/>
    </row>
    <row r="791">
      <c r="A791" s="9"/>
      <c r="B791" s="9"/>
      <c r="D791" s="9"/>
      <c r="L791" s="9"/>
      <c r="M791" s="9"/>
    </row>
    <row r="792">
      <c r="A792" s="9"/>
      <c r="B792" s="9"/>
      <c r="D792" s="9"/>
      <c r="L792" s="9"/>
      <c r="M792" s="9"/>
    </row>
    <row r="793">
      <c r="A793" s="9"/>
      <c r="B793" s="9"/>
      <c r="D793" s="9"/>
      <c r="L793" s="9"/>
      <c r="M793" s="9"/>
    </row>
    <row r="794">
      <c r="A794" s="9"/>
      <c r="B794" s="9"/>
      <c r="D794" s="9"/>
      <c r="L794" s="9"/>
      <c r="M794" s="9"/>
    </row>
    <row r="795">
      <c r="A795" s="9"/>
      <c r="B795" s="9"/>
      <c r="D795" s="9"/>
      <c r="L795" s="9"/>
      <c r="M795" s="9"/>
    </row>
    <row r="796">
      <c r="A796" s="9"/>
      <c r="B796" s="9"/>
      <c r="D796" s="9"/>
      <c r="L796" s="9"/>
      <c r="M796" s="9"/>
    </row>
    <row r="797">
      <c r="A797" s="9"/>
      <c r="B797" s="9"/>
      <c r="D797" s="9"/>
      <c r="L797" s="9"/>
      <c r="M797" s="9"/>
    </row>
    <row r="798">
      <c r="A798" s="9"/>
      <c r="B798" s="9"/>
      <c r="D798" s="9"/>
      <c r="L798" s="9"/>
      <c r="M798" s="9"/>
    </row>
    <row r="799">
      <c r="A799" s="9"/>
      <c r="B799" s="9"/>
      <c r="D799" s="9"/>
      <c r="L799" s="9"/>
      <c r="M799" s="9"/>
    </row>
    <row r="800">
      <c r="A800" s="9"/>
      <c r="B800" s="9"/>
      <c r="D800" s="9"/>
      <c r="L800" s="9"/>
      <c r="M800" s="9"/>
    </row>
    <row r="801">
      <c r="A801" s="9"/>
      <c r="B801" s="9"/>
      <c r="D801" s="9"/>
      <c r="L801" s="9"/>
      <c r="M801" s="9"/>
    </row>
    <row r="802">
      <c r="A802" s="9"/>
      <c r="B802" s="9"/>
      <c r="D802" s="9"/>
      <c r="L802" s="9"/>
      <c r="M802" s="9"/>
    </row>
    <row r="803">
      <c r="A803" s="9"/>
      <c r="B803" s="9"/>
      <c r="D803" s="9"/>
      <c r="L803" s="9"/>
      <c r="M803" s="9"/>
    </row>
    <row r="804">
      <c r="A804" s="9"/>
      <c r="B804" s="9"/>
      <c r="D804" s="9"/>
      <c r="L804" s="9"/>
      <c r="M804" s="9"/>
    </row>
    <row r="805">
      <c r="A805" s="9"/>
      <c r="B805" s="9"/>
      <c r="D805" s="9"/>
      <c r="L805" s="9"/>
      <c r="M805" s="9"/>
    </row>
    <row r="806">
      <c r="A806" s="9"/>
      <c r="B806" s="9"/>
      <c r="D806" s="9"/>
      <c r="L806" s="9"/>
      <c r="M806" s="9"/>
    </row>
    <row r="807">
      <c r="A807" s="9"/>
      <c r="B807" s="9"/>
      <c r="D807" s="9"/>
      <c r="L807" s="9"/>
      <c r="M807" s="9"/>
    </row>
    <row r="808">
      <c r="A808" s="9"/>
      <c r="B808" s="9"/>
      <c r="D808" s="9"/>
      <c r="L808" s="9"/>
      <c r="M808" s="9"/>
    </row>
    <row r="809">
      <c r="A809" s="9"/>
      <c r="B809" s="9"/>
      <c r="D809" s="9"/>
      <c r="L809" s="9"/>
      <c r="M809" s="9"/>
    </row>
    <row r="810">
      <c r="A810" s="9"/>
      <c r="B810" s="9"/>
      <c r="D810" s="9"/>
      <c r="L810" s="9"/>
      <c r="M810" s="9"/>
    </row>
    <row r="811">
      <c r="A811" s="9"/>
      <c r="B811" s="9"/>
      <c r="D811" s="9"/>
      <c r="L811" s="9"/>
      <c r="M811" s="9"/>
    </row>
    <row r="812">
      <c r="A812" s="9"/>
      <c r="B812" s="9"/>
      <c r="D812" s="9"/>
      <c r="L812" s="9"/>
      <c r="M812" s="9"/>
    </row>
    <row r="813">
      <c r="A813" s="9"/>
      <c r="B813" s="9"/>
      <c r="D813" s="9"/>
      <c r="L813" s="9"/>
      <c r="M813" s="9"/>
    </row>
    <row r="814">
      <c r="A814" s="9"/>
      <c r="B814" s="9"/>
      <c r="D814" s="9"/>
      <c r="L814" s="9"/>
      <c r="M814" s="9"/>
    </row>
    <row r="815">
      <c r="A815" s="9"/>
      <c r="B815" s="9"/>
      <c r="D815" s="9"/>
      <c r="L815" s="9"/>
      <c r="M815" s="9"/>
    </row>
    <row r="816">
      <c r="A816" s="9"/>
      <c r="B816" s="9"/>
      <c r="D816" s="9"/>
      <c r="L816" s="9"/>
      <c r="M816" s="9"/>
    </row>
    <row r="817">
      <c r="A817" s="9"/>
      <c r="B817" s="9"/>
      <c r="D817" s="9"/>
      <c r="L817" s="9"/>
      <c r="M817" s="9"/>
    </row>
    <row r="818">
      <c r="A818" s="9"/>
      <c r="B818" s="9"/>
      <c r="D818" s="9"/>
      <c r="L818" s="9"/>
      <c r="M818" s="9"/>
    </row>
    <row r="819">
      <c r="A819" s="9"/>
      <c r="B819" s="9"/>
      <c r="D819" s="9"/>
      <c r="L819" s="9"/>
      <c r="M819" s="9"/>
    </row>
    <row r="820">
      <c r="A820" s="9"/>
      <c r="B820" s="9"/>
      <c r="D820" s="9"/>
      <c r="L820" s="9"/>
      <c r="M820" s="9"/>
    </row>
    <row r="821">
      <c r="A821" s="9"/>
      <c r="B821" s="9"/>
      <c r="D821" s="9"/>
      <c r="L821" s="9"/>
      <c r="M821" s="9"/>
    </row>
    <row r="822">
      <c r="A822" s="9"/>
      <c r="B822" s="9"/>
      <c r="D822" s="9"/>
      <c r="L822" s="9"/>
      <c r="M822" s="9"/>
    </row>
    <row r="823">
      <c r="A823" s="9"/>
      <c r="B823" s="9"/>
      <c r="D823" s="9"/>
      <c r="L823" s="9"/>
      <c r="M823" s="9"/>
    </row>
    <row r="824">
      <c r="A824" s="9"/>
      <c r="B824" s="9"/>
      <c r="D824" s="9"/>
      <c r="L824" s="9"/>
      <c r="M824" s="9"/>
    </row>
    <row r="825">
      <c r="A825" s="9"/>
      <c r="B825" s="9"/>
      <c r="D825" s="9"/>
      <c r="L825" s="9"/>
      <c r="M825" s="9"/>
    </row>
    <row r="826">
      <c r="A826" s="9"/>
      <c r="B826" s="9"/>
      <c r="D826" s="9"/>
      <c r="L826" s="9"/>
      <c r="M826" s="9"/>
    </row>
    <row r="827">
      <c r="A827" s="9"/>
      <c r="B827" s="9"/>
      <c r="D827" s="9"/>
      <c r="L827" s="9"/>
      <c r="M827" s="9"/>
    </row>
    <row r="828">
      <c r="A828" s="9"/>
      <c r="B828" s="9"/>
      <c r="D828" s="9"/>
      <c r="L828" s="9"/>
      <c r="M828" s="9"/>
    </row>
    <row r="829">
      <c r="A829" s="9"/>
      <c r="B829" s="9"/>
      <c r="D829" s="9"/>
      <c r="L829" s="9"/>
      <c r="M829" s="9"/>
    </row>
    <row r="830">
      <c r="A830" s="9"/>
      <c r="B830" s="9"/>
      <c r="D830" s="9"/>
      <c r="L830" s="9"/>
      <c r="M830" s="9"/>
    </row>
    <row r="831">
      <c r="A831" s="9"/>
      <c r="B831" s="9"/>
      <c r="D831" s="9"/>
      <c r="L831" s="9"/>
      <c r="M831" s="9"/>
    </row>
    <row r="832">
      <c r="A832" s="9"/>
      <c r="B832" s="9"/>
      <c r="D832" s="9"/>
      <c r="L832" s="9"/>
      <c r="M832" s="9"/>
    </row>
    <row r="833">
      <c r="A833" s="9"/>
      <c r="B833" s="9"/>
      <c r="D833" s="9"/>
      <c r="L833" s="9"/>
      <c r="M833" s="9"/>
    </row>
    <row r="834">
      <c r="A834" s="9"/>
      <c r="B834" s="9"/>
      <c r="D834" s="9"/>
      <c r="L834" s="9"/>
      <c r="M834" s="9"/>
    </row>
    <row r="835">
      <c r="A835" s="9"/>
      <c r="B835" s="9"/>
      <c r="D835" s="9"/>
      <c r="L835" s="9"/>
      <c r="M835" s="9"/>
    </row>
    <row r="836">
      <c r="A836" s="9"/>
      <c r="B836" s="9"/>
      <c r="D836" s="9"/>
      <c r="L836" s="9"/>
      <c r="M836" s="9"/>
    </row>
    <row r="837">
      <c r="A837" s="9"/>
      <c r="B837" s="9"/>
      <c r="D837" s="9"/>
      <c r="L837" s="9"/>
      <c r="M837" s="9"/>
    </row>
    <row r="838">
      <c r="A838" s="9"/>
      <c r="B838" s="9"/>
      <c r="D838" s="9"/>
      <c r="L838" s="9"/>
      <c r="M838" s="9"/>
    </row>
    <row r="839">
      <c r="A839" s="9"/>
      <c r="B839" s="9"/>
      <c r="D839" s="9"/>
      <c r="L839" s="9"/>
      <c r="M839" s="9"/>
    </row>
    <row r="840">
      <c r="A840" s="9"/>
      <c r="B840" s="9"/>
      <c r="D840" s="9"/>
      <c r="L840" s="9"/>
      <c r="M840" s="9"/>
    </row>
    <row r="841">
      <c r="A841" s="9"/>
      <c r="B841" s="9"/>
      <c r="D841" s="9"/>
      <c r="L841" s="9"/>
      <c r="M841" s="9"/>
    </row>
    <row r="842">
      <c r="A842" s="9"/>
      <c r="B842" s="9"/>
      <c r="D842" s="9"/>
      <c r="L842" s="9"/>
      <c r="M842" s="9"/>
    </row>
    <row r="843">
      <c r="A843" s="9"/>
      <c r="B843" s="9"/>
      <c r="D843" s="9"/>
      <c r="L843" s="9"/>
      <c r="M843" s="9"/>
    </row>
    <row r="844">
      <c r="A844" s="9"/>
      <c r="B844" s="9"/>
      <c r="D844" s="9"/>
      <c r="L844" s="9"/>
      <c r="M844" s="9"/>
    </row>
    <row r="845">
      <c r="A845" s="9"/>
      <c r="B845" s="9"/>
      <c r="D845" s="9"/>
      <c r="L845" s="9"/>
      <c r="M845" s="9"/>
    </row>
    <row r="846">
      <c r="A846" s="9"/>
      <c r="B846" s="9"/>
      <c r="D846" s="9"/>
      <c r="L846" s="9"/>
      <c r="M846" s="9"/>
    </row>
    <row r="847">
      <c r="A847" s="9"/>
      <c r="B847" s="9"/>
      <c r="D847" s="9"/>
      <c r="L847" s="9"/>
      <c r="M847" s="9"/>
    </row>
    <row r="848">
      <c r="A848" s="9"/>
      <c r="B848" s="9"/>
      <c r="D848" s="9"/>
      <c r="L848" s="9"/>
      <c r="M848" s="9"/>
    </row>
    <row r="849">
      <c r="A849" s="9"/>
      <c r="B849" s="9"/>
      <c r="D849" s="9"/>
      <c r="L849" s="9"/>
      <c r="M849" s="9"/>
    </row>
    <row r="850">
      <c r="A850" s="9"/>
      <c r="B850" s="9"/>
      <c r="D850" s="9"/>
      <c r="L850" s="9"/>
      <c r="M850" s="9"/>
    </row>
    <row r="851">
      <c r="A851" s="9"/>
      <c r="B851" s="9"/>
      <c r="D851" s="9"/>
      <c r="L851" s="9"/>
      <c r="M851" s="9"/>
    </row>
    <row r="852">
      <c r="A852" s="9"/>
      <c r="B852" s="9"/>
      <c r="D852" s="9"/>
      <c r="L852" s="9"/>
      <c r="M852" s="9"/>
    </row>
    <row r="853">
      <c r="A853" s="9"/>
      <c r="B853" s="9"/>
      <c r="D853" s="9"/>
      <c r="L853" s="9"/>
      <c r="M853" s="9"/>
    </row>
    <row r="854">
      <c r="A854" s="9"/>
      <c r="B854" s="9"/>
      <c r="D854" s="9"/>
      <c r="L854" s="9"/>
      <c r="M854" s="9"/>
    </row>
    <row r="855">
      <c r="A855" s="9"/>
      <c r="B855" s="9"/>
      <c r="D855" s="9"/>
      <c r="L855" s="9"/>
      <c r="M855" s="9"/>
    </row>
    <row r="856">
      <c r="A856" s="9"/>
      <c r="B856" s="9"/>
      <c r="D856" s="9"/>
      <c r="L856" s="9"/>
      <c r="M856" s="9"/>
    </row>
    <row r="857">
      <c r="A857" s="9"/>
      <c r="B857" s="9"/>
      <c r="D857" s="9"/>
      <c r="L857" s="9"/>
      <c r="M857" s="9"/>
    </row>
    <row r="858">
      <c r="A858" s="9"/>
      <c r="B858" s="9"/>
      <c r="D858" s="9"/>
      <c r="L858" s="9"/>
      <c r="M858" s="9"/>
    </row>
    <row r="859">
      <c r="A859" s="9"/>
      <c r="B859" s="9"/>
      <c r="D859" s="9"/>
      <c r="L859" s="9"/>
      <c r="M859" s="9"/>
    </row>
    <row r="860">
      <c r="A860" s="9"/>
      <c r="B860" s="9"/>
      <c r="D860" s="9"/>
      <c r="L860" s="9"/>
      <c r="M860" s="9"/>
    </row>
    <row r="861">
      <c r="A861" s="9"/>
      <c r="B861" s="9"/>
      <c r="D861" s="9"/>
      <c r="L861" s="9"/>
      <c r="M861" s="9"/>
    </row>
    <row r="862">
      <c r="A862" s="9"/>
      <c r="B862" s="9"/>
      <c r="D862" s="9"/>
      <c r="L862" s="9"/>
      <c r="M862" s="9"/>
    </row>
    <row r="863">
      <c r="A863" s="9"/>
      <c r="B863" s="9"/>
      <c r="D863" s="9"/>
      <c r="L863" s="9"/>
      <c r="M863" s="9"/>
    </row>
    <row r="864">
      <c r="A864" s="9"/>
      <c r="B864" s="9"/>
      <c r="D864" s="9"/>
      <c r="L864" s="9"/>
      <c r="M864" s="9"/>
    </row>
    <row r="865">
      <c r="A865" s="9"/>
      <c r="B865" s="9"/>
      <c r="D865" s="9"/>
      <c r="L865" s="9"/>
      <c r="M865" s="9"/>
    </row>
    <row r="866">
      <c r="A866" s="9"/>
      <c r="B866" s="9"/>
      <c r="D866" s="9"/>
      <c r="L866" s="9"/>
      <c r="M866" s="9"/>
    </row>
    <row r="867">
      <c r="A867" s="9"/>
      <c r="B867" s="9"/>
      <c r="D867" s="9"/>
      <c r="L867" s="9"/>
      <c r="M867" s="9"/>
    </row>
    <row r="868">
      <c r="A868" s="9"/>
      <c r="B868" s="9"/>
      <c r="D868" s="9"/>
      <c r="L868" s="9"/>
      <c r="M868" s="9"/>
    </row>
    <row r="869">
      <c r="A869" s="9"/>
      <c r="B869" s="9"/>
      <c r="D869" s="9"/>
      <c r="L869" s="9"/>
      <c r="M869" s="9"/>
    </row>
    <row r="870">
      <c r="A870" s="9"/>
      <c r="B870" s="9"/>
      <c r="D870" s="9"/>
      <c r="L870" s="9"/>
      <c r="M870" s="9"/>
    </row>
    <row r="871">
      <c r="A871" s="9"/>
      <c r="B871" s="9"/>
      <c r="D871" s="9"/>
      <c r="L871" s="9"/>
      <c r="M871" s="9"/>
    </row>
    <row r="872">
      <c r="A872" s="9"/>
      <c r="B872" s="9"/>
      <c r="D872" s="9"/>
      <c r="L872" s="9"/>
      <c r="M872" s="9"/>
    </row>
    <row r="873">
      <c r="A873" s="9"/>
      <c r="B873" s="9"/>
      <c r="D873" s="9"/>
      <c r="L873" s="9"/>
      <c r="M873" s="9"/>
    </row>
    <row r="874">
      <c r="A874" s="9"/>
      <c r="B874" s="9"/>
      <c r="D874" s="9"/>
      <c r="L874" s="9"/>
      <c r="M874" s="9"/>
    </row>
    <row r="875">
      <c r="A875" s="9"/>
      <c r="B875" s="9"/>
      <c r="D875" s="9"/>
      <c r="L875" s="9"/>
      <c r="M875" s="9"/>
    </row>
    <row r="876">
      <c r="A876" s="9"/>
      <c r="B876" s="9"/>
      <c r="D876" s="9"/>
      <c r="L876" s="9"/>
      <c r="M876" s="9"/>
    </row>
    <row r="877">
      <c r="A877" s="9"/>
      <c r="B877" s="9"/>
      <c r="D877" s="9"/>
      <c r="L877" s="9"/>
      <c r="M877" s="9"/>
    </row>
    <row r="878">
      <c r="A878" s="9"/>
      <c r="B878" s="9"/>
      <c r="D878" s="9"/>
      <c r="L878" s="9"/>
      <c r="M878" s="9"/>
    </row>
    <row r="879">
      <c r="A879" s="9"/>
      <c r="B879" s="9"/>
      <c r="D879" s="9"/>
      <c r="L879" s="9"/>
      <c r="M879" s="9"/>
    </row>
    <row r="880">
      <c r="A880" s="9"/>
      <c r="B880" s="9"/>
      <c r="D880" s="9"/>
      <c r="L880" s="9"/>
      <c r="M880" s="9"/>
    </row>
    <row r="881">
      <c r="A881" s="9"/>
      <c r="B881" s="9"/>
      <c r="D881" s="9"/>
      <c r="L881" s="9"/>
      <c r="M881" s="9"/>
    </row>
    <row r="882">
      <c r="A882" s="9"/>
      <c r="B882" s="9"/>
      <c r="D882" s="9"/>
      <c r="L882" s="9"/>
      <c r="M882" s="9"/>
    </row>
    <row r="883">
      <c r="A883" s="9"/>
      <c r="B883" s="9"/>
      <c r="D883" s="9"/>
      <c r="L883" s="9"/>
      <c r="M883" s="9"/>
    </row>
    <row r="884">
      <c r="A884" s="9"/>
      <c r="B884" s="9"/>
      <c r="D884" s="9"/>
      <c r="L884" s="9"/>
      <c r="M884" s="9"/>
    </row>
    <row r="885">
      <c r="A885" s="9"/>
      <c r="B885" s="9"/>
      <c r="D885" s="9"/>
      <c r="L885" s="9"/>
      <c r="M885" s="9"/>
    </row>
    <row r="886">
      <c r="A886" s="9"/>
      <c r="B886" s="9"/>
      <c r="D886" s="9"/>
      <c r="L886" s="9"/>
      <c r="M886" s="9"/>
    </row>
    <row r="887">
      <c r="A887" s="9"/>
      <c r="B887" s="9"/>
      <c r="D887" s="9"/>
      <c r="L887" s="9"/>
      <c r="M887" s="9"/>
    </row>
    <row r="888">
      <c r="A888" s="9"/>
      <c r="B888" s="9"/>
      <c r="D888" s="9"/>
      <c r="L888" s="9"/>
      <c r="M888" s="9"/>
    </row>
    <row r="889">
      <c r="A889" s="9"/>
      <c r="B889" s="9"/>
      <c r="D889" s="9"/>
      <c r="L889" s="9"/>
      <c r="M889" s="9"/>
    </row>
    <row r="890">
      <c r="A890" s="9"/>
      <c r="B890" s="9"/>
      <c r="D890" s="9"/>
      <c r="L890" s="9"/>
      <c r="M890" s="9"/>
    </row>
    <row r="891">
      <c r="A891" s="9"/>
      <c r="B891" s="9"/>
      <c r="D891" s="9"/>
      <c r="L891" s="9"/>
      <c r="M891" s="9"/>
    </row>
    <row r="892">
      <c r="A892" s="9"/>
      <c r="B892" s="9"/>
      <c r="D892" s="9"/>
      <c r="L892" s="9"/>
      <c r="M892" s="9"/>
    </row>
    <row r="893">
      <c r="A893" s="9"/>
      <c r="B893" s="9"/>
      <c r="D893" s="9"/>
      <c r="L893" s="9"/>
      <c r="M893" s="9"/>
    </row>
    <row r="894">
      <c r="A894" s="9"/>
      <c r="B894" s="9"/>
      <c r="D894" s="9"/>
      <c r="L894" s="9"/>
      <c r="M894" s="9"/>
    </row>
    <row r="895">
      <c r="A895" s="9"/>
      <c r="B895" s="9"/>
      <c r="D895" s="9"/>
      <c r="L895" s="9"/>
      <c r="M895" s="9"/>
    </row>
    <row r="896">
      <c r="A896" s="9"/>
      <c r="B896" s="9"/>
      <c r="D896" s="9"/>
      <c r="L896" s="9"/>
      <c r="M896" s="9"/>
    </row>
    <row r="897">
      <c r="A897" s="9"/>
      <c r="B897" s="9"/>
      <c r="D897" s="9"/>
      <c r="L897" s="9"/>
      <c r="M897" s="9"/>
    </row>
    <row r="898">
      <c r="A898" s="9"/>
      <c r="B898" s="9"/>
      <c r="D898" s="9"/>
      <c r="L898" s="9"/>
      <c r="M898" s="9"/>
    </row>
    <row r="899">
      <c r="A899" s="9"/>
      <c r="B899" s="9"/>
      <c r="D899" s="9"/>
      <c r="L899" s="9"/>
      <c r="M899" s="9"/>
    </row>
    <row r="900">
      <c r="A900" s="9"/>
      <c r="B900" s="9"/>
      <c r="D900" s="9"/>
      <c r="L900" s="9"/>
      <c r="M900" s="9"/>
    </row>
    <row r="901">
      <c r="A901" s="9"/>
      <c r="B901" s="9"/>
      <c r="D901" s="9"/>
      <c r="L901" s="9"/>
      <c r="M901" s="9"/>
    </row>
    <row r="902">
      <c r="A902" s="9"/>
      <c r="B902" s="9"/>
      <c r="D902" s="9"/>
      <c r="L902" s="9"/>
      <c r="M902" s="9"/>
    </row>
    <row r="903">
      <c r="A903" s="9"/>
      <c r="B903" s="9"/>
      <c r="D903" s="9"/>
      <c r="L903" s="9"/>
      <c r="M903" s="9"/>
    </row>
    <row r="904">
      <c r="A904" s="9"/>
      <c r="B904" s="9"/>
      <c r="D904" s="9"/>
      <c r="L904" s="9"/>
      <c r="M904" s="9"/>
    </row>
    <row r="905">
      <c r="A905" s="9"/>
      <c r="B905" s="9"/>
      <c r="D905" s="9"/>
      <c r="L905" s="9"/>
      <c r="M905" s="9"/>
    </row>
    <row r="906">
      <c r="A906" s="9"/>
      <c r="B906" s="9"/>
      <c r="D906" s="9"/>
      <c r="L906" s="9"/>
      <c r="M906" s="9"/>
    </row>
    <row r="907">
      <c r="A907" s="9"/>
      <c r="B907" s="9"/>
      <c r="D907" s="9"/>
      <c r="L907" s="9"/>
      <c r="M907" s="9"/>
    </row>
    <row r="908">
      <c r="A908" s="9"/>
      <c r="B908" s="9"/>
      <c r="D908" s="9"/>
      <c r="L908" s="9"/>
      <c r="M908" s="9"/>
    </row>
    <row r="909">
      <c r="A909" s="9"/>
      <c r="B909" s="9"/>
      <c r="D909" s="9"/>
      <c r="L909" s="9"/>
      <c r="M909" s="9"/>
    </row>
    <row r="910">
      <c r="A910" s="9"/>
      <c r="B910" s="9"/>
      <c r="D910" s="9"/>
      <c r="L910" s="9"/>
      <c r="M910" s="9"/>
    </row>
    <row r="911">
      <c r="A911" s="9"/>
      <c r="B911" s="9"/>
      <c r="D911" s="9"/>
      <c r="L911" s="9"/>
      <c r="M911" s="9"/>
    </row>
    <row r="912">
      <c r="A912" s="9"/>
      <c r="B912" s="9"/>
      <c r="D912" s="9"/>
      <c r="L912" s="9"/>
      <c r="M912" s="9"/>
    </row>
    <row r="913">
      <c r="A913" s="9"/>
      <c r="B913" s="9"/>
      <c r="D913" s="9"/>
      <c r="L913" s="9"/>
      <c r="M913" s="9"/>
    </row>
    <row r="914">
      <c r="A914" s="9"/>
      <c r="B914" s="9"/>
      <c r="D914" s="9"/>
      <c r="L914" s="9"/>
      <c r="M914" s="9"/>
    </row>
    <row r="915">
      <c r="A915" s="9"/>
      <c r="B915" s="9"/>
      <c r="D915" s="9"/>
      <c r="L915" s="9"/>
      <c r="M915" s="9"/>
    </row>
    <row r="916">
      <c r="A916" s="9"/>
      <c r="B916" s="9"/>
      <c r="D916" s="9"/>
      <c r="L916" s="9"/>
      <c r="M916" s="9"/>
    </row>
    <row r="917">
      <c r="A917" s="9"/>
      <c r="B917" s="9"/>
      <c r="D917" s="9"/>
      <c r="L917" s="9"/>
      <c r="M917" s="9"/>
    </row>
    <row r="918">
      <c r="A918" s="9"/>
      <c r="B918" s="9"/>
      <c r="D918" s="9"/>
      <c r="L918" s="9"/>
      <c r="M918" s="9"/>
    </row>
    <row r="919">
      <c r="A919" s="9"/>
      <c r="B919" s="9"/>
      <c r="D919" s="9"/>
      <c r="L919" s="9"/>
      <c r="M919" s="9"/>
    </row>
    <row r="920">
      <c r="A920" s="9"/>
      <c r="B920" s="9"/>
      <c r="D920" s="9"/>
      <c r="L920" s="9"/>
      <c r="M920" s="9"/>
    </row>
    <row r="921">
      <c r="A921" s="9"/>
      <c r="B921" s="9"/>
      <c r="D921" s="9"/>
      <c r="L921" s="9"/>
      <c r="M921" s="9"/>
    </row>
    <row r="922">
      <c r="A922" s="9"/>
      <c r="B922" s="9"/>
      <c r="D922" s="9"/>
      <c r="L922" s="9"/>
      <c r="M922" s="9"/>
    </row>
    <row r="923">
      <c r="A923" s="9"/>
      <c r="B923" s="9"/>
      <c r="D923" s="9"/>
      <c r="L923" s="9"/>
      <c r="M923" s="9"/>
    </row>
    <row r="924">
      <c r="A924" s="9"/>
      <c r="B924" s="9"/>
      <c r="D924" s="9"/>
      <c r="L924" s="9"/>
      <c r="M924" s="9"/>
    </row>
    <row r="925">
      <c r="A925" s="9"/>
      <c r="B925" s="9"/>
      <c r="D925" s="9"/>
      <c r="L925" s="9"/>
      <c r="M925" s="9"/>
    </row>
    <row r="926">
      <c r="A926" s="9"/>
      <c r="B926" s="9"/>
      <c r="D926" s="9"/>
      <c r="L926" s="9"/>
      <c r="M926" s="9"/>
    </row>
    <row r="927">
      <c r="A927" s="9"/>
      <c r="B927" s="9"/>
      <c r="D927" s="9"/>
      <c r="L927" s="9"/>
      <c r="M927" s="9"/>
    </row>
    <row r="928">
      <c r="A928" s="9"/>
      <c r="B928" s="9"/>
      <c r="D928" s="9"/>
      <c r="L928" s="9"/>
      <c r="M928" s="9"/>
    </row>
    <row r="929">
      <c r="A929" s="9"/>
      <c r="B929" s="9"/>
      <c r="D929" s="9"/>
      <c r="L929" s="9"/>
      <c r="M929" s="9"/>
    </row>
    <row r="930">
      <c r="A930" s="9"/>
      <c r="B930" s="9"/>
      <c r="D930" s="9"/>
      <c r="L930" s="9"/>
      <c r="M930" s="9"/>
    </row>
    <row r="931">
      <c r="A931" s="9"/>
      <c r="B931" s="9"/>
      <c r="D931" s="9"/>
      <c r="L931" s="9"/>
      <c r="M931" s="9"/>
    </row>
    <row r="932">
      <c r="A932" s="9"/>
      <c r="B932" s="9"/>
      <c r="D932" s="9"/>
      <c r="L932" s="9"/>
      <c r="M932" s="9"/>
    </row>
    <row r="933">
      <c r="A933" s="9"/>
      <c r="B933" s="9"/>
      <c r="D933" s="9"/>
      <c r="L933" s="9"/>
      <c r="M933" s="9"/>
    </row>
    <row r="934">
      <c r="A934" s="9"/>
      <c r="B934" s="9"/>
      <c r="D934" s="9"/>
      <c r="L934" s="9"/>
      <c r="M934" s="9"/>
    </row>
    <row r="935">
      <c r="A935" s="9"/>
      <c r="B935" s="9"/>
      <c r="D935" s="9"/>
      <c r="L935" s="9"/>
      <c r="M935" s="9"/>
    </row>
    <row r="936">
      <c r="A936" s="9"/>
      <c r="B936" s="9"/>
      <c r="D936" s="9"/>
      <c r="L936" s="9"/>
      <c r="M936" s="9"/>
    </row>
    <row r="937">
      <c r="A937" s="9"/>
      <c r="B937" s="9"/>
      <c r="D937" s="9"/>
      <c r="L937" s="9"/>
      <c r="M937" s="9"/>
    </row>
    <row r="938">
      <c r="A938" s="9"/>
      <c r="B938" s="9"/>
      <c r="D938" s="9"/>
      <c r="L938" s="9"/>
      <c r="M938" s="9"/>
    </row>
    <row r="939">
      <c r="A939" s="9"/>
      <c r="B939" s="9"/>
      <c r="D939" s="9"/>
      <c r="L939" s="9"/>
      <c r="M939" s="9"/>
    </row>
    <row r="940">
      <c r="A940" s="9"/>
      <c r="B940" s="9"/>
      <c r="D940" s="9"/>
      <c r="L940" s="9"/>
      <c r="M940" s="9"/>
    </row>
    <row r="941">
      <c r="A941" s="9"/>
      <c r="B941" s="9"/>
      <c r="D941" s="9"/>
      <c r="L941" s="9"/>
      <c r="M941" s="9"/>
    </row>
    <row r="942">
      <c r="A942" s="9"/>
      <c r="B942" s="9"/>
      <c r="D942" s="9"/>
      <c r="L942" s="9"/>
      <c r="M942" s="9"/>
    </row>
    <row r="943">
      <c r="A943" s="9"/>
      <c r="B943" s="9"/>
      <c r="D943" s="9"/>
      <c r="L943" s="9"/>
      <c r="M943" s="9"/>
    </row>
    <row r="944">
      <c r="A944" s="9"/>
      <c r="B944" s="9"/>
      <c r="D944" s="9"/>
      <c r="L944" s="9"/>
      <c r="M944" s="9"/>
    </row>
    <row r="945">
      <c r="A945" s="9"/>
      <c r="B945" s="9"/>
      <c r="D945" s="9"/>
      <c r="L945" s="9"/>
      <c r="M945" s="9"/>
    </row>
    <row r="946">
      <c r="A946" s="9"/>
      <c r="B946" s="9"/>
      <c r="D946" s="9"/>
      <c r="L946" s="9"/>
      <c r="M946" s="9"/>
    </row>
    <row r="947">
      <c r="A947" s="9"/>
      <c r="B947" s="9"/>
      <c r="D947" s="9"/>
      <c r="L947" s="9"/>
      <c r="M947" s="9"/>
    </row>
    <row r="948">
      <c r="A948" s="9"/>
      <c r="B948" s="9"/>
      <c r="D948" s="9"/>
      <c r="L948" s="9"/>
      <c r="M948" s="9"/>
    </row>
    <row r="949">
      <c r="A949" s="9"/>
      <c r="B949" s="9"/>
      <c r="D949" s="9"/>
      <c r="L949" s="9"/>
      <c r="M949" s="9"/>
    </row>
    <row r="950">
      <c r="A950" s="9"/>
      <c r="B950" s="9"/>
      <c r="D950" s="9"/>
      <c r="L950" s="9"/>
      <c r="M950" s="9"/>
    </row>
    <row r="951">
      <c r="A951" s="9"/>
      <c r="B951" s="9"/>
      <c r="D951" s="9"/>
      <c r="L951" s="9"/>
      <c r="M951" s="9"/>
    </row>
    <row r="952">
      <c r="A952" s="9"/>
      <c r="B952" s="9"/>
      <c r="D952" s="9"/>
      <c r="L952" s="9"/>
      <c r="M952" s="9"/>
    </row>
    <row r="953">
      <c r="A953" s="9"/>
      <c r="B953" s="9"/>
      <c r="D953" s="9"/>
      <c r="L953" s="9"/>
      <c r="M953" s="9"/>
    </row>
    <row r="954">
      <c r="A954" s="9"/>
      <c r="B954" s="9"/>
      <c r="D954" s="9"/>
      <c r="L954" s="9"/>
      <c r="M954" s="9"/>
    </row>
    <row r="955">
      <c r="A955" s="9"/>
      <c r="B955" s="9"/>
      <c r="D955" s="9"/>
      <c r="L955" s="9"/>
      <c r="M955" s="9"/>
    </row>
    <row r="956">
      <c r="A956" s="9"/>
      <c r="B956" s="9"/>
      <c r="D956" s="9"/>
      <c r="L956" s="9"/>
      <c r="M956" s="9"/>
    </row>
    <row r="957">
      <c r="A957" s="9"/>
      <c r="B957" s="9"/>
      <c r="D957" s="9"/>
      <c r="L957" s="9"/>
      <c r="M957" s="9"/>
    </row>
    <row r="958">
      <c r="A958" s="9"/>
      <c r="B958" s="9"/>
      <c r="D958" s="9"/>
      <c r="L958" s="9"/>
      <c r="M958" s="9"/>
    </row>
    <row r="959">
      <c r="A959" s="9"/>
      <c r="B959" s="9"/>
      <c r="D959" s="9"/>
      <c r="L959" s="9"/>
      <c r="M959" s="9"/>
    </row>
    <row r="960">
      <c r="A960" s="9"/>
      <c r="B960" s="9"/>
      <c r="D960" s="9"/>
      <c r="L960" s="9"/>
      <c r="M960" s="9"/>
    </row>
    <row r="961">
      <c r="A961" s="9"/>
      <c r="B961" s="9"/>
      <c r="D961" s="9"/>
      <c r="L961" s="9"/>
      <c r="M961" s="9"/>
    </row>
    <row r="962">
      <c r="A962" s="9"/>
      <c r="B962" s="9"/>
      <c r="D962" s="9"/>
      <c r="L962" s="9"/>
      <c r="M962" s="9"/>
    </row>
    <row r="963">
      <c r="A963" s="9"/>
      <c r="B963" s="9"/>
      <c r="D963" s="9"/>
      <c r="L963" s="9"/>
      <c r="M963" s="9"/>
    </row>
    <row r="964">
      <c r="A964" s="9"/>
      <c r="B964" s="9"/>
      <c r="D964" s="9"/>
      <c r="L964" s="9"/>
      <c r="M964" s="9"/>
    </row>
    <row r="965">
      <c r="A965" s="9"/>
      <c r="B965" s="9"/>
      <c r="D965" s="9"/>
      <c r="L965" s="9"/>
      <c r="M965" s="9"/>
    </row>
    <row r="966">
      <c r="A966" s="9"/>
      <c r="B966" s="9"/>
      <c r="D966" s="9"/>
      <c r="L966" s="9"/>
      <c r="M966" s="9"/>
    </row>
    <row r="967">
      <c r="A967" s="9"/>
      <c r="B967" s="9"/>
      <c r="D967" s="9"/>
      <c r="L967" s="9"/>
      <c r="M967" s="9"/>
    </row>
    <row r="968">
      <c r="A968" s="9"/>
      <c r="B968" s="9"/>
      <c r="D968" s="9"/>
      <c r="L968" s="9"/>
      <c r="M968" s="9"/>
    </row>
    <row r="969">
      <c r="A969" s="9"/>
      <c r="B969" s="9"/>
      <c r="D969" s="9"/>
      <c r="L969" s="9"/>
      <c r="M969" s="9"/>
    </row>
    <row r="970">
      <c r="A970" s="9"/>
      <c r="B970" s="9"/>
      <c r="D970" s="9"/>
      <c r="L970" s="9"/>
      <c r="M970" s="9"/>
    </row>
    <row r="971">
      <c r="A971" s="9"/>
      <c r="B971" s="9"/>
      <c r="D971" s="9"/>
      <c r="L971" s="9"/>
      <c r="M971" s="9"/>
    </row>
    <row r="972">
      <c r="A972" s="9"/>
      <c r="B972" s="9"/>
      <c r="D972" s="9"/>
      <c r="L972" s="9"/>
      <c r="M972" s="9"/>
    </row>
    <row r="973">
      <c r="A973" s="9"/>
      <c r="B973" s="9"/>
      <c r="D973" s="9"/>
      <c r="L973" s="9"/>
      <c r="M973" s="9"/>
    </row>
    <row r="974">
      <c r="A974" s="9"/>
      <c r="B974" s="9"/>
      <c r="D974" s="9"/>
      <c r="L974" s="9"/>
      <c r="M974" s="9"/>
    </row>
    <row r="975">
      <c r="A975" s="9"/>
      <c r="B975" s="9"/>
      <c r="D975" s="9"/>
      <c r="L975" s="9"/>
      <c r="M975" s="9"/>
    </row>
    <row r="976">
      <c r="A976" s="9"/>
      <c r="B976" s="9"/>
      <c r="D976" s="9"/>
      <c r="L976" s="9"/>
      <c r="M976" s="9"/>
    </row>
    <row r="977">
      <c r="A977" s="9"/>
      <c r="B977" s="9"/>
      <c r="D977" s="9"/>
      <c r="L977" s="9"/>
      <c r="M977" s="9"/>
    </row>
    <row r="978">
      <c r="A978" s="9"/>
      <c r="B978" s="9"/>
      <c r="D978" s="9"/>
      <c r="L978" s="9"/>
      <c r="M978" s="9"/>
    </row>
    <row r="979">
      <c r="A979" s="9"/>
      <c r="B979" s="9"/>
      <c r="D979" s="9"/>
      <c r="L979" s="9"/>
      <c r="M979" s="9"/>
    </row>
    <row r="980">
      <c r="A980" s="9"/>
      <c r="B980" s="9"/>
      <c r="D980" s="9"/>
      <c r="L980" s="9"/>
      <c r="M980" s="9"/>
    </row>
    <row r="981">
      <c r="A981" s="9"/>
      <c r="B981" s="9"/>
      <c r="D981" s="9"/>
      <c r="L981" s="9"/>
      <c r="M981" s="9"/>
    </row>
    <row r="982">
      <c r="A982" s="9"/>
      <c r="B982" s="9"/>
      <c r="D982" s="9"/>
      <c r="L982" s="9"/>
      <c r="M982" s="9"/>
    </row>
    <row r="983">
      <c r="A983" s="9"/>
      <c r="B983" s="9"/>
      <c r="D983" s="9"/>
      <c r="L983" s="9"/>
      <c r="M983" s="9"/>
    </row>
    <row r="984">
      <c r="A984" s="9"/>
      <c r="B984" s="9"/>
      <c r="D984" s="9"/>
      <c r="L984" s="9"/>
      <c r="M984" s="9"/>
    </row>
    <row r="985">
      <c r="A985" s="9"/>
      <c r="B985" s="9"/>
      <c r="D985" s="9"/>
      <c r="L985" s="9"/>
      <c r="M985" s="9"/>
    </row>
    <row r="986">
      <c r="A986" s="9"/>
      <c r="B986" s="9"/>
      <c r="D986" s="9"/>
      <c r="L986" s="9"/>
      <c r="M986" s="9"/>
    </row>
    <row r="987">
      <c r="A987" s="9"/>
      <c r="B987" s="9"/>
      <c r="D987" s="9"/>
      <c r="L987" s="9"/>
      <c r="M987" s="9"/>
    </row>
    <row r="988">
      <c r="A988" s="9"/>
      <c r="B988" s="9"/>
      <c r="D988" s="9"/>
      <c r="L988" s="9"/>
      <c r="M988" s="9"/>
    </row>
    <row r="989">
      <c r="A989" s="9"/>
      <c r="B989" s="9"/>
      <c r="D989" s="9"/>
      <c r="L989" s="9"/>
      <c r="M989" s="9"/>
    </row>
    <row r="990">
      <c r="A990" s="9"/>
      <c r="B990" s="9"/>
      <c r="D990" s="9"/>
      <c r="L990" s="9"/>
      <c r="M990" s="9"/>
    </row>
    <row r="991">
      <c r="A991" s="9"/>
      <c r="B991" s="9"/>
      <c r="D991" s="9"/>
      <c r="L991" s="9"/>
      <c r="M991" s="9"/>
    </row>
    <row r="992">
      <c r="A992" s="9"/>
      <c r="B992" s="9"/>
      <c r="D992" s="9"/>
      <c r="L992" s="9"/>
      <c r="M992" s="9"/>
    </row>
    <row r="993">
      <c r="A993" s="9"/>
      <c r="B993" s="9"/>
      <c r="D993" s="9"/>
      <c r="L993" s="9"/>
      <c r="M993" s="9"/>
    </row>
    <row r="994">
      <c r="A994" s="9"/>
      <c r="B994" s="9"/>
      <c r="D994" s="9"/>
      <c r="L994" s="9"/>
      <c r="M994" s="9"/>
    </row>
    <row r="995">
      <c r="A995" s="9"/>
      <c r="B995" s="9"/>
      <c r="D995" s="9"/>
      <c r="L995" s="9"/>
      <c r="M995" s="9"/>
    </row>
    <row r="996">
      <c r="A996" s="9"/>
      <c r="B996" s="9"/>
      <c r="D996" s="9"/>
      <c r="L996" s="9"/>
      <c r="M996" s="9"/>
    </row>
    <row r="997">
      <c r="A997" s="9"/>
      <c r="B997" s="9"/>
      <c r="D997" s="9"/>
      <c r="L997" s="9"/>
      <c r="M997" s="9"/>
    </row>
    <row r="998">
      <c r="A998" s="9"/>
      <c r="B998" s="9"/>
      <c r="D998" s="9"/>
      <c r="L998" s="9"/>
      <c r="M998" s="9"/>
    </row>
    <row r="999">
      <c r="A999" s="9"/>
      <c r="B999" s="9"/>
      <c r="D999" s="9"/>
      <c r="L999" s="9"/>
      <c r="M999" s="9"/>
    </row>
    <row r="1000">
      <c r="A1000" s="9"/>
      <c r="B1000" s="9"/>
      <c r="D1000" s="9"/>
      <c r="L1000" s="9"/>
      <c r="M1000" s="9"/>
    </row>
    <row r="1001">
      <c r="A1001" s="9"/>
      <c r="B1001" s="9"/>
      <c r="D1001" s="9"/>
      <c r="L1001" s="9"/>
      <c r="M1001" s="9"/>
    </row>
    <row r="1002">
      <c r="A1002" s="9"/>
      <c r="B1002" s="9"/>
      <c r="D1002" s="9"/>
      <c r="L1002" s="9"/>
      <c r="M1002" s="9"/>
    </row>
    <row r="1003">
      <c r="A1003" s="10"/>
      <c r="B1003" s="10"/>
      <c r="D1003" s="9"/>
      <c r="L1003" s="9"/>
      <c r="M1003" s="9"/>
    </row>
    <row r="1004">
      <c r="A1004" s="9"/>
      <c r="B1004" s="9"/>
      <c r="D1004" s="9"/>
      <c r="L1004" s="9"/>
      <c r="M1004" s="9"/>
    </row>
    <row r="1005">
      <c r="A1005" s="9"/>
      <c r="B1005" s="9"/>
      <c r="D1005" s="9"/>
      <c r="L1005" s="9"/>
      <c r="M1005" s="9"/>
    </row>
    <row r="1006">
      <c r="A1006" s="9"/>
      <c r="B1006" s="9"/>
      <c r="D1006" s="9"/>
      <c r="L1006" s="9"/>
      <c r="M1006" s="9"/>
    </row>
    <row r="1007">
      <c r="A1007" s="10"/>
      <c r="B1007" s="9"/>
      <c r="D1007" s="9"/>
      <c r="L1007" s="9"/>
      <c r="M1007" s="9"/>
    </row>
    <row r="1008">
      <c r="A1008" s="10"/>
      <c r="B1008" s="9"/>
      <c r="L1008" s="9"/>
      <c r="M1008" s="9"/>
    </row>
    <row r="1009">
      <c r="A1009" s="10"/>
      <c r="B1009" s="9"/>
      <c r="L1009" s="9"/>
      <c r="M1009" s="9"/>
    </row>
    <row r="1010">
      <c r="A1010" s="10"/>
      <c r="B1010" s="9"/>
      <c r="L1010" s="9"/>
      <c r="M1010" s="9"/>
    </row>
    <row r="1011">
      <c r="A1011" s="10"/>
      <c r="B1011" s="9"/>
      <c r="L1011" s="9"/>
      <c r="M1011" s="9"/>
    </row>
    <row r="1012">
      <c r="A1012" s="10"/>
      <c r="B1012" s="9"/>
      <c r="D1012" s="9"/>
      <c r="L1012" s="9"/>
      <c r="M1012" s="9"/>
    </row>
    <row r="1013">
      <c r="A1013" s="10"/>
      <c r="B1013" s="9"/>
      <c r="L1013" s="9"/>
      <c r="M1013" s="9"/>
    </row>
    <row r="1014">
      <c r="A1014" s="10"/>
      <c r="B1014" s="9"/>
      <c r="L1014" s="9"/>
      <c r="M1014" s="9"/>
    </row>
    <row r="1015">
      <c r="A1015" s="10"/>
      <c r="B1015" s="9"/>
      <c r="L1015" s="9"/>
      <c r="M1015" s="9"/>
    </row>
    <row r="1016">
      <c r="A1016" s="10"/>
      <c r="B1016" s="9"/>
      <c r="L1016" s="9"/>
      <c r="M1016" s="9"/>
    </row>
    <row r="1017">
      <c r="A1017" s="10"/>
      <c r="B1017" s="9"/>
      <c r="L1017" s="9"/>
      <c r="M1017" s="9"/>
    </row>
    <row r="1018">
      <c r="A1018" s="10"/>
      <c r="B1018" s="9"/>
      <c r="L1018" s="9"/>
      <c r="M1018" s="9"/>
    </row>
    <row r="1019">
      <c r="A1019" s="10"/>
      <c r="B1019" s="9"/>
      <c r="D1019" s="9"/>
      <c r="L1019" s="9"/>
      <c r="M1019" s="9"/>
    </row>
    <row r="1020">
      <c r="A1020" s="10"/>
      <c r="B1020" s="9"/>
      <c r="L1020" s="9"/>
      <c r="M1020" s="9"/>
    </row>
    <row r="1021">
      <c r="A1021" s="10"/>
      <c r="B1021" s="9"/>
      <c r="L1021" s="9"/>
      <c r="M1021" s="9"/>
    </row>
    <row r="1022">
      <c r="A1022" s="10"/>
      <c r="B1022" s="9"/>
      <c r="L1022" s="9"/>
      <c r="M1022" s="9"/>
    </row>
    <row r="1023">
      <c r="A1023" s="10"/>
      <c r="B1023" s="9"/>
      <c r="L1023" s="9"/>
      <c r="M1023" s="9"/>
    </row>
    <row r="1024">
      <c r="A1024" s="10"/>
      <c r="B1024" s="9"/>
      <c r="D1024" s="9"/>
      <c r="L1024" s="9"/>
      <c r="M1024" s="9"/>
    </row>
    <row r="1025">
      <c r="A1025" s="10"/>
      <c r="B1025" s="9"/>
      <c r="L1025" s="9"/>
      <c r="M1025" s="9"/>
    </row>
    <row r="1026">
      <c r="A1026" s="10"/>
      <c r="B1026" s="9"/>
      <c r="L1026" s="9"/>
      <c r="M1026" s="9"/>
    </row>
    <row r="1027">
      <c r="A1027" s="10"/>
      <c r="B1027" s="9"/>
      <c r="L1027" s="9"/>
      <c r="M1027" s="9"/>
    </row>
    <row r="1028">
      <c r="A1028" s="10"/>
      <c r="B1028" s="9"/>
      <c r="D1028" s="9"/>
      <c r="L1028" s="9"/>
      <c r="M1028" s="9"/>
    </row>
    <row r="1029">
      <c r="A1029" s="10"/>
      <c r="B1029" s="9"/>
      <c r="L1029" s="9"/>
      <c r="M1029" s="9"/>
    </row>
    <row r="1030">
      <c r="A1030" s="10"/>
      <c r="B1030" s="9"/>
      <c r="L1030" s="9"/>
      <c r="M1030" s="9"/>
    </row>
    <row r="1031">
      <c r="A1031" s="10"/>
      <c r="B1031" s="9"/>
      <c r="L1031" s="9"/>
      <c r="M1031" s="9"/>
    </row>
    <row r="1032">
      <c r="A1032" s="10"/>
      <c r="B1032" s="9"/>
      <c r="L1032" s="9"/>
      <c r="M1032" s="9"/>
    </row>
    <row r="1033">
      <c r="A1033" s="10"/>
      <c r="B1033" s="9"/>
      <c r="L1033" s="9"/>
      <c r="M1033" s="9"/>
    </row>
    <row r="1034">
      <c r="A1034" s="10"/>
      <c r="B1034" s="9"/>
      <c r="L1034" s="9"/>
      <c r="M1034" s="9"/>
    </row>
    <row r="1035">
      <c r="A1035" s="10"/>
      <c r="B1035" s="9"/>
      <c r="L1035" s="9"/>
      <c r="M1035" s="9"/>
    </row>
    <row r="1036">
      <c r="A1036" s="10"/>
      <c r="B1036" s="9"/>
      <c r="L1036" s="9"/>
      <c r="M1036" s="9"/>
    </row>
    <row r="1037">
      <c r="A1037" s="10"/>
      <c r="B1037" s="9"/>
      <c r="L1037" s="9"/>
      <c r="M1037" s="9"/>
    </row>
    <row r="1038">
      <c r="A1038" s="10"/>
      <c r="B1038" s="9"/>
      <c r="L1038" s="9"/>
      <c r="M1038" s="9"/>
    </row>
    <row r="1039">
      <c r="A1039" s="10"/>
      <c r="B1039" s="9"/>
      <c r="L1039" s="9"/>
      <c r="M1039" s="9"/>
    </row>
    <row r="1040">
      <c r="A1040" s="10"/>
      <c r="B1040" s="9"/>
      <c r="L1040" s="9"/>
      <c r="M1040" s="9"/>
    </row>
    <row r="1041">
      <c r="A1041" s="10"/>
      <c r="B1041" s="9"/>
    </row>
    <row r="1042">
      <c r="A1042" s="10"/>
      <c r="B1042" s="9"/>
    </row>
    <row r="1043">
      <c r="A1043" s="10"/>
      <c r="B1043" s="9"/>
    </row>
    <row r="1044">
      <c r="A1044" s="10"/>
      <c r="B1044" s="9"/>
    </row>
    <row r="1045">
      <c r="A1045" s="10"/>
      <c r="B1045" s="9"/>
    </row>
    <row r="1046">
      <c r="A1046" s="10"/>
      <c r="B1046" s="9"/>
    </row>
    <row r="1047">
      <c r="A1047" s="10"/>
      <c r="B1047" s="9"/>
    </row>
    <row r="1048">
      <c r="A1048" s="10"/>
      <c r="B1048" s="9"/>
    </row>
    <row r="1049">
      <c r="A1049" s="10"/>
      <c r="B1049" s="9"/>
    </row>
    <row r="1050">
      <c r="A1050" s="10"/>
      <c r="B1050" s="9"/>
    </row>
    <row r="1051">
      <c r="A1051" s="10"/>
      <c r="B1051" s="9"/>
    </row>
    <row r="1052">
      <c r="A1052" s="10"/>
      <c r="B1052" s="9"/>
    </row>
    <row r="1053">
      <c r="A1053" s="10"/>
      <c r="B1053" s="9"/>
    </row>
    <row r="1054">
      <c r="A1054" s="10"/>
      <c r="B1054" s="9"/>
    </row>
    <row r="1055">
      <c r="A1055" s="10"/>
      <c r="B1055" s="9"/>
    </row>
    <row r="1056">
      <c r="A1056" s="10"/>
      <c r="B1056" s="9"/>
    </row>
    <row r="1057">
      <c r="A1057" s="10"/>
      <c r="B1057" s="9"/>
    </row>
    <row r="1058">
      <c r="A1058" s="10"/>
      <c r="B1058" s="9"/>
    </row>
    <row r="1059">
      <c r="A1059" s="10"/>
      <c r="B1059" s="9"/>
      <c r="D1059" s="9"/>
    </row>
    <row r="1060">
      <c r="A1060" s="10"/>
      <c r="B1060" s="9"/>
      <c r="D1060" s="9"/>
    </row>
    <row r="1061">
      <c r="A1061" s="1"/>
      <c r="B1061" s="8"/>
      <c r="C1061" s="8"/>
    </row>
    <row r="1062">
      <c r="A1062" s="1"/>
      <c r="B1062" s="8"/>
      <c r="C1062" s="8"/>
    </row>
    <row r="1063">
      <c r="A1063" s="1"/>
      <c r="B1063" s="8"/>
      <c r="C1063" s="8"/>
    </row>
    <row r="1064">
      <c r="A1064" s="1"/>
      <c r="B1064" s="8"/>
      <c r="C1064" s="8"/>
    </row>
    <row r="1065">
      <c r="A1065" s="1"/>
      <c r="B1065" s="8"/>
      <c r="C1065" s="8"/>
    </row>
    <row r="1066">
      <c r="A1066" s="1"/>
      <c r="B1066" s="8"/>
      <c r="C1066" s="8"/>
    </row>
    <row r="1067">
      <c r="A1067" s="1"/>
      <c r="B1067" s="8"/>
      <c r="C1067" s="8"/>
    </row>
    <row r="1068">
      <c r="A1068" s="1"/>
      <c r="B1068" s="8"/>
      <c r="C1068" s="8"/>
    </row>
    <row r="1069">
      <c r="A1069" s="10"/>
      <c r="B1069" s="9"/>
      <c r="C1069" s="9"/>
      <c r="D1069" s="9"/>
    </row>
    <row r="1070">
      <c r="A1070" s="1"/>
      <c r="B1070" s="8"/>
      <c r="C1070" s="8"/>
    </row>
    <row r="1071">
      <c r="A1071" s="10"/>
      <c r="B1071" s="9"/>
      <c r="C1071" s="9"/>
      <c r="D1071" s="9"/>
    </row>
    <row r="1072">
      <c r="A1072" s="1"/>
      <c r="B1072" s="8"/>
      <c r="C1072" s="8"/>
    </row>
    <row r="1073">
      <c r="A1073" s="1"/>
      <c r="B1073" s="8"/>
      <c r="C1073" s="8"/>
    </row>
    <row r="1074">
      <c r="A1074" s="1"/>
      <c r="B1074" s="8"/>
      <c r="C1074" s="8"/>
    </row>
    <row r="1075">
      <c r="A1075" s="10"/>
      <c r="B1075" s="9"/>
      <c r="C1075" s="9"/>
      <c r="D1075" s="9"/>
    </row>
    <row r="1076">
      <c r="A1076" s="1"/>
      <c r="B1076" s="8"/>
      <c r="C1076" s="8"/>
    </row>
    <row r="1077">
      <c r="A1077" s="1"/>
      <c r="B1077" s="8"/>
      <c r="C1077" s="8"/>
    </row>
    <row r="1078">
      <c r="A1078" s="1"/>
      <c r="B1078" s="8"/>
      <c r="C1078" s="8"/>
    </row>
    <row r="1079">
      <c r="A1079" s="1"/>
      <c r="B1079" s="8"/>
      <c r="C1079" s="8"/>
    </row>
    <row r="1080">
      <c r="A1080" s="1"/>
      <c r="B1080" s="8"/>
      <c r="C1080" s="8"/>
    </row>
    <row r="1081">
      <c r="A1081" s="10"/>
      <c r="B1081" s="9"/>
      <c r="C1081" s="9"/>
      <c r="D1081" s="9"/>
    </row>
    <row r="1082">
      <c r="A1082" s="1"/>
      <c r="B1082" s="8"/>
      <c r="C1082" s="8"/>
    </row>
    <row r="1083">
      <c r="A1083" s="1"/>
      <c r="B1083" s="8"/>
      <c r="C1083" s="8"/>
    </row>
    <row r="1084">
      <c r="A1084" s="10"/>
      <c r="B1084" s="9"/>
      <c r="C1084" s="9"/>
      <c r="D1084" s="9"/>
    </row>
    <row r="1085">
      <c r="A1085" s="10"/>
      <c r="B1085" s="9"/>
      <c r="C1085" s="9"/>
      <c r="D1085" s="9"/>
    </row>
    <row r="1086">
      <c r="A1086" s="1"/>
      <c r="B1086" s="8"/>
      <c r="C1086" s="8"/>
    </row>
    <row r="1087">
      <c r="A1087" s="1"/>
      <c r="B1087" s="8"/>
      <c r="C1087" s="8"/>
    </row>
    <row r="1088">
      <c r="A1088" s="1"/>
      <c r="B1088" s="8"/>
      <c r="C1088" s="8"/>
    </row>
    <row r="1089">
      <c r="A1089" s="1"/>
      <c r="B1089" s="8"/>
      <c r="C1089" s="8"/>
    </row>
    <row r="1090">
      <c r="A1090" s="1"/>
      <c r="B1090" s="8"/>
      <c r="C1090" s="8"/>
    </row>
    <row r="1091">
      <c r="A1091" s="1"/>
      <c r="B1091" s="8"/>
      <c r="C1091" s="8"/>
    </row>
    <row r="1092">
      <c r="A1092" s="1"/>
      <c r="B1092" s="8"/>
      <c r="C1092" s="8"/>
    </row>
    <row r="1093">
      <c r="A1093" s="1"/>
      <c r="B1093" s="8"/>
      <c r="C1093" s="8"/>
    </row>
    <row r="1094">
      <c r="A1094" s="1"/>
      <c r="B1094" s="8"/>
      <c r="C1094" s="8"/>
    </row>
    <row r="1095">
      <c r="A1095" s="1"/>
      <c r="B1095" s="8"/>
      <c r="C1095" s="8"/>
    </row>
    <row r="1096">
      <c r="A1096" s="1"/>
      <c r="B1096" s="8"/>
      <c r="C1096" s="8"/>
    </row>
    <row r="1097">
      <c r="A1097" s="1"/>
      <c r="B1097" s="8"/>
      <c r="C1097" s="8"/>
    </row>
    <row r="1098">
      <c r="A1098" s="1"/>
      <c r="B1098" s="8"/>
      <c r="C1098" s="8"/>
    </row>
    <row r="1099">
      <c r="A1099" s="1"/>
      <c r="B1099" s="8"/>
      <c r="C1099" s="8"/>
    </row>
    <row r="1100">
      <c r="A1100" s="1"/>
      <c r="B1100" s="8"/>
      <c r="C1100" s="8"/>
    </row>
    <row r="1101">
      <c r="A1101" s="1"/>
      <c r="B1101" s="8"/>
      <c r="C1101" s="8"/>
    </row>
    <row r="1102">
      <c r="A1102" s="1"/>
      <c r="B1102" s="8"/>
      <c r="C1102" s="8"/>
    </row>
    <row r="1103">
      <c r="A1103" s="1"/>
      <c r="B1103" s="8"/>
      <c r="C1103" s="8"/>
    </row>
    <row r="1104">
      <c r="A1104" s="1"/>
      <c r="B1104" s="8"/>
      <c r="C1104" s="8"/>
    </row>
    <row r="1105">
      <c r="A1105" s="1"/>
      <c r="B1105" s="8"/>
      <c r="C1105" s="8"/>
    </row>
    <row r="1106">
      <c r="A1106" s="1"/>
      <c r="B1106" s="8"/>
      <c r="C1106" s="8"/>
    </row>
    <row r="1107">
      <c r="A1107" s="1"/>
      <c r="B1107" s="8"/>
      <c r="C1107" s="8"/>
    </row>
    <row r="1108">
      <c r="A1108" s="1"/>
      <c r="B1108" s="8"/>
      <c r="C1108" s="8"/>
    </row>
    <row r="1109">
      <c r="A1109" s="1"/>
      <c r="B1109" s="8"/>
      <c r="C1109" s="8"/>
    </row>
    <row r="1110">
      <c r="A1110" s="1"/>
      <c r="B1110" s="8"/>
      <c r="C1110" s="8"/>
    </row>
    <row r="1111">
      <c r="A1111" s="1"/>
      <c r="B1111" s="8"/>
      <c r="C1111" s="8"/>
    </row>
    <row r="1112">
      <c r="A1112" s="1"/>
      <c r="B1112" s="8"/>
      <c r="C1112" s="8"/>
    </row>
    <row r="1113">
      <c r="A1113" s="1"/>
      <c r="B1113" s="8"/>
      <c r="C1113" s="8"/>
    </row>
    <row r="1114">
      <c r="A1114" s="1"/>
      <c r="B1114" s="8"/>
      <c r="C1114" s="8"/>
    </row>
    <row r="1115">
      <c r="A1115" s="1"/>
      <c r="B1115" s="8"/>
      <c r="C1115" s="8"/>
    </row>
    <row r="1116">
      <c r="A1116" s="1"/>
      <c r="B1116" s="8"/>
      <c r="C1116" s="8"/>
    </row>
    <row r="1117">
      <c r="A1117" s="1"/>
      <c r="B1117" s="8"/>
      <c r="C1117" s="8"/>
    </row>
    <row r="1118">
      <c r="A1118" s="1"/>
      <c r="B1118" s="8"/>
      <c r="C1118" s="8"/>
    </row>
    <row r="1119">
      <c r="A1119" s="1"/>
      <c r="B1119" s="8"/>
      <c r="C1119" s="8"/>
    </row>
    <row r="1120">
      <c r="A1120" s="1"/>
      <c r="B1120" s="8"/>
      <c r="C1120" s="8"/>
    </row>
    <row r="1121">
      <c r="A1121" s="1"/>
      <c r="B1121" s="8"/>
      <c r="C1121" s="8"/>
    </row>
    <row r="1122">
      <c r="A1122" s="1"/>
      <c r="B1122" s="8"/>
      <c r="C1122" s="8"/>
    </row>
    <row r="1123">
      <c r="A1123" s="1"/>
      <c r="B1123" s="8"/>
      <c r="C1123" s="8"/>
    </row>
    <row r="1124">
      <c r="A1124" s="1"/>
      <c r="B1124" s="8"/>
      <c r="C1124" s="8"/>
    </row>
    <row r="1125">
      <c r="A1125" s="1"/>
      <c r="B1125" s="8"/>
      <c r="C1125" s="7"/>
    </row>
    <row r="1126">
      <c r="A1126" s="1"/>
      <c r="B1126" s="8"/>
      <c r="C1126" s="8"/>
    </row>
    <row r="1127">
      <c r="A1127" s="1"/>
      <c r="B1127" s="8"/>
      <c r="C1127" s="8"/>
    </row>
    <row r="1128">
      <c r="A1128" s="1"/>
      <c r="B1128" s="8"/>
      <c r="C1128" s="8"/>
    </row>
    <row r="1129">
      <c r="A1129" s="1"/>
      <c r="B1129" s="8"/>
      <c r="C1129" s="8"/>
    </row>
    <row r="1130">
      <c r="A1130" s="1"/>
      <c r="B1130" s="8"/>
      <c r="C1130" s="8"/>
    </row>
    <row r="1131">
      <c r="A1131" s="1"/>
      <c r="B1131" s="8"/>
      <c r="C1131" s="8"/>
    </row>
    <row r="1132">
      <c r="A1132" s="1"/>
      <c r="B1132" s="8"/>
      <c r="C1132" s="8"/>
    </row>
    <row r="1133">
      <c r="A1133" s="1"/>
      <c r="B1133" s="8"/>
      <c r="C1133" s="8"/>
    </row>
    <row r="1134">
      <c r="A1134" s="1"/>
      <c r="B1134" s="8"/>
      <c r="C1134" s="8"/>
    </row>
    <row r="1135">
      <c r="A1135" s="1"/>
      <c r="B1135" s="8"/>
      <c r="C1135" s="8"/>
    </row>
    <row r="1136">
      <c r="A1136" s="1"/>
      <c r="B1136" s="8"/>
      <c r="C1136" s="8"/>
    </row>
    <row r="1137">
      <c r="A1137" s="1"/>
      <c r="B1137" s="8"/>
      <c r="C1137" s="8"/>
    </row>
    <row r="1138">
      <c r="A1138" s="1"/>
      <c r="B1138" s="8"/>
      <c r="C1138" s="8"/>
    </row>
    <row r="1139">
      <c r="A1139" s="1"/>
      <c r="B1139" s="8"/>
      <c r="C1139" s="8"/>
    </row>
    <row r="1140">
      <c r="A1140" s="1"/>
      <c r="B1140" s="8"/>
      <c r="C1140" s="8"/>
    </row>
    <row r="1141">
      <c r="A1141" s="1"/>
      <c r="B1141" s="8"/>
      <c r="C1141" s="8"/>
    </row>
    <row r="1142">
      <c r="A1142" s="1"/>
      <c r="B1142" s="8"/>
      <c r="C1142" s="8"/>
    </row>
    <row r="1143">
      <c r="A1143" s="1"/>
      <c r="B1143" s="8"/>
      <c r="C1143" s="8"/>
    </row>
    <row r="1144">
      <c r="A1144" s="1"/>
      <c r="B1144" s="8"/>
      <c r="C1144" s="8"/>
    </row>
    <row r="1145">
      <c r="A1145" s="1"/>
      <c r="B1145" s="8"/>
      <c r="C1145" s="8"/>
    </row>
    <row r="1146">
      <c r="A1146" s="1"/>
      <c r="B1146" s="8"/>
      <c r="C1146" s="8"/>
    </row>
    <row r="1147">
      <c r="A1147" s="1"/>
      <c r="B1147" s="8"/>
      <c r="C1147" s="8"/>
    </row>
    <row r="1148">
      <c r="A1148" s="1"/>
      <c r="B1148" s="8"/>
      <c r="C1148" s="8"/>
    </row>
    <row r="1149">
      <c r="A1149" s="1"/>
      <c r="B1149" s="8"/>
      <c r="C1149" s="8"/>
    </row>
    <row r="1150">
      <c r="A1150" s="1"/>
      <c r="B1150" s="8"/>
      <c r="C1150" s="8"/>
    </row>
    <row r="1151">
      <c r="A1151" s="1"/>
      <c r="B1151" s="8"/>
      <c r="C1151" s="8"/>
    </row>
    <row r="1152">
      <c r="A1152" s="1"/>
      <c r="B1152" s="8"/>
      <c r="C1152" s="8"/>
    </row>
    <row r="1153">
      <c r="A1153" s="1"/>
      <c r="B1153" s="8"/>
      <c r="C1153" s="8"/>
    </row>
    <row r="1154">
      <c r="A1154" s="1"/>
      <c r="B1154" s="8"/>
      <c r="C1154" s="8"/>
    </row>
    <row r="1155">
      <c r="A1155" s="1"/>
      <c r="B1155" s="8"/>
      <c r="C1155" s="7"/>
    </row>
    <row r="1156">
      <c r="A1156" s="1"/>
      <c r="B1156" s="8"/>
      <c r="C1156" s="8"/>
    </row>
    <row r="1157">
      <c r="A1157" s="1"/>
      <c r="B1157" s="8"/>
      <c r="C1157" s="8"/>
    </row>
    <row r="1158">
      <c r="A1158" s="1"/>
      <c r="B1158" s="8"/>
      <c r="C1158" s="8"/>
    </row>
    <row r="1159">
      <c r="A1159" s="1"/>
      <c r="B1159" s="8"/>
      <c r="C1159" s="8"/>
    </row>
    <row r="1160">
      <c r="A1160" s="1"/>
      <c r="B1160" s="8"/>
      <c r="C1160" s="8"/>
    </row>
    <row r="1161">
      <c r="A1161" s="1"/>
      <c r="B1161" s="8"/>
      <c r="C1161" s="8"/>
    </row>
    <row r="1162">
      <c r="A1162" s="1"/>
      <c r="B1162" s="8"/>
      <c r="C1162" s="8"/>
    </row>
    <row r="1163">
      <c r="A1163" s="1"/>
      <c r="B1163" s="8"/>
      <c r="C1163" s="8"/>
    </row>
    <row r="1164">
      <c r="A1164" s="1"/>
      <c r="B1164" s="8"/>
      <c r="C1164" s="8"/>
    </row>
    <row r="1165">
      <c r="A1165" s="1"/>
      <c r="B1165" s="8"/>
      <c r="C1165" s="8"/>
    </row>
    <row r="1166">
      <c r="A1166" s="1"/>
      <c r="B1166" s="8"/>
      <c r="C1166" s="8"/>
    </row>
    <row r="1167">
      <c r="A1167" s="1"/>
      <c r="B1167" s="8"/>
      <c r="C1167" s="8"/>
    </row>
    <row r="1168">
      <c r="A1168" s="1"/>
      <c r="B1168" s="8"/>
      <c r="C1168" s="8"/>
    </row>
    <row r="1169">
      <c r="A1169" s="1"/>
      <c r="B1169" s="8"/>
      <c r="C1169" s="7"/>
    </row>
    <row r="1170">
      <c r="A1170" s="1"/>
      <c r="B1170" s="8"/>
      <c r="C1170" s="8"/>
    </row>
    <row r="1171">
      <c r="A1171" s="1"/>
      <c r="B1171" s="8"/>
      <c r="C1171" s="7"/>
    </row>
    <row r="1172">
      <c r="A1172" s="1"/>
      <c r="B1172" s="8"/>
      <c r="C1172" s="8"/>
    </row>
    <row r="1173">
      <c r="A1173" s="1"/>
      <c r="B1173" s="8"/>
      <c r="C1173" s="8"/>
    </row>
    <row r="1174">
      <c r="A1174" s="1"/>
      <c r="B1174" s="8"/>
      <c r="C1174" s="8"/>
    </row>
    <row r="1175">
      <c r="A1175" s="1"/>
      <c r="B1175" s="8"/>
      <c r="C1175" s="8"/>
    </row>
    <row r="1176">
      <c r="A1176" s="1"/>
      <c r="B1176" s="8"/>
      <c r="C1176" s="8"/>
    </row>
    <row r="1177">
      <c r="A1177" s="1"/>
      <c r="B1177" s="8"/>
      <c r="C1177" s="8"/>
    </row>
    <row r="1178">
      <c r="A1178" s="1"/>
      <c r="B1178" s="8"/>
      <c r="C1178" s="8"/>
    </row>
    <row r="1179">
      <c r="A1179" s="1"/>
      <c r="B1179" s="8"/>
      <c r="C1179" s="8"/>
    </row>
    <row r="1180">
      <c r="A1180" s="1"/>
      <c r="B1180" s="8"/>
      <c r="C1180" s="8"/>
    </row>
    <row r="1181">
      <c r="A1181" s="1"/>
      <c r="B1181" s="8"/>
      <c r="C1181" s="8"/>
    </row>
    <row r="1182">
      <c r="A1182" s="1"/>
      <c r="B1182" s="8"/>
      <c r="C1182" s="8"/>
    </row>
    <row r="1183">
      <c r="A1183" s="1"/>
      <c r="B1183" s="8"/>
      <c r="C1183" s="8"/>
    </row>
    <row r="1184">
      <c r="A1184" s="1"/>
      <c r="B1184" s="8"/>
      <c r="C1184" s="8"/>
    </row>
    <row r="1185">
      <c r="A1185" s="1"/>
      <c r="B1185" s="8"/>
      <c r="C1185" s="8"/>
    </row>
    <row r="1186">
      <c r="A1186" s="1"/>
      <c r="B1186" s="8"/>
      <c r="C1186" s="8"/>
    </row>
    <row r="1187">
      <c r="A1187" s="1"/>
      <c r="B1187" s="8"/>
      <c r="C1187" s="8"/>
    </row>
    <row r="1188">
      <c r="A1188" s="1"/>
      <c r="B1188" s="8"/>
      <c r="C1188" s="8"/>
    </row>
    <row r="1189">
      <c r="A1189" s="1"/>
      <c r="B1189" s="8"/>
      <c r="C1189" s="8"/>
    </row>
    <row r="1190">
      <c r="A1190" s="1"/>
      <c r="B1190" s="8"/>
      <c r="C1190" s="8"/>
    </row>
    <row r="1191">
      <c r="A1191" s="1"/>
      <c r="B1191" s="8"/>
      <c r="C1191" s="8"/>
    </row>
    <row r="1192">
      <c r="A1192" s="1"/>
      <c r="B1192" s="8"/>
      <c r="C1192" s="8"/>
    </row>
    <row r="1193">
      <c r="A1193" s="1"/>
      <c r="B1193" s="8"/>
      <c r="C1193" s="8"/>
    </row>
    <row r="1194">
      <c r="A1194" s="1"/>
      <c r="B1194" s="8"/>
      <c r="C1194" s="8"/>
    </row>
    <row r="1195">
      <c r="B1195" s="9"/>
    </row>
    <row r="1196">
      <c r="B1196" s="9"/>
    </row>
    <row r="1197">
      <c r="B1197" s="9"/>
    </row>
    <row r="1198">
      <c r="B1198" s="9"/>
    </row>
    <row r="1199">
      <c r="B1199" s="9"/>
    </row>
    <row r="1200">
      <c r="B1200" s="9"/>
    </row>
    <row r="1201">
      <c r="B1201" s="9"/>
    </row>
    <row r="1202">
      <c r="B1202" s="9"/>
    </row>
    <row r="1203">
      <c r="B1203" s="9"/>
    </row>
    <row r="1204">
      <c r="B1204" s="9"/>
    </row>
    <row r="1205">
      <c r="B1205" s="9"/>
    </row>
    <row r="1206">
      <c r="B1206" s="9"/>
    </row>
    <row r="1207">
      <c r="B1207" s="9"/>
    </row>
    <row r="1208">
      <c r="B1208" s="9"/>
    </row>
    <row r="1209">
      <c r="B1209" s="9"/>
    </row>
    <row r="1210">
      <c r="B1210" s="9"/>
    </row>
    <row r="1211">
      <c r="B1211" s="9"/>
    </row>
    <row r="1212">
      <c r="B1212" s="9"/>
    </row>
    <row r="1213">
      <c r="B1213" s="9"/>
    </row>
    <row r="1214">
      <c r="B1214" s="9"/>
    </row>
    <row r="1215">
      <c r="B1215" s="9"/>
    </row>
    <row r="1216">
      <c r="B1216" s="9"/>
    </row>
    <row r="1217">
      <c r="B1217" s="9"/>
    </row>
    <row r="1218">
      <c r="B1218" s="9"/>
    </row>
    <row r="1219">
      <c r="B1219" s="9"/>
    </row>
    <row r="1220">
      <c r="B1220" s="9"/>
    </row>
    <row r="1221">
      <c r="B1221" s="9"/>
    </row>
    <row r="1222">
      <c r="B1222" s="9"/>
    </row>
    <row r="1223">
      <c r="B1223" s="9"/>
    </row>
    <row r="1224">
      <c r="B1224" s="9"/>
    </row>
    <row r="1225">
      <c r="B1225" s="9"/>
    </row>
    <row r="1226">
      <c r="B1226" s="9"/>
    </row>
    <row r="1227">
      <c r="B1227" s="9"/>
    </row>
    <row r="1228">
      <c r="B1228" s="9"/>
    </row>
    <row r="1229">
      <c r="B1229" s="9"/>
    </row>
    <row r="1230">
      <c r="B1230" s="9"/>
    </row>
    <row r="1231">
      <c r="B1231" s="9"/>
    </row>
    <row r="1232">
      <c r="B1232" s="9"/>
    </row>
    <row r="1233">
      <c r="B1233" s="9"/>
    </row>
    <row r="1234">
      <c r="B1234" s="9"/>
    </row>
    <row r="1235">
      <c r="B1235" s="9"/>
    </row>
    <row r="1236">
      <c r="B1236" s="9"/>
    </row>
    <row r="1237">
      <c r="B1237" s="9"/>
    </row>
    <row r="1238">
      <c r="B1238" s="9"/>
    </row>
    <row r="1239">
      <c r="B1239" s="9"/>
    </row>
    <row r="1240">
      <c r="B1240" s="9"/>
    </row>
    <row r="1241">
      <c r="B1241" s="9"/>
    </row>
    <row r="1242">
      <c r="B1242" s="9"/>
    </row>
    <row r="1243">
      <c r="B1243" s="9"/>
    </row>
    <row r="1244">
      <c r="B1244" s="9"/>
    </row>
    <row r="1245">
      <c r="B1245" s="9"/>
    </row>
    <row r="1246">
      <c r="B1246" s="9"/>
    </row>
    <row r="1247">
      <c r="B1247" s="9"/>
    </row>
    <row r="1248">
      <c r="B1248" s="9"/>
    </row>
    <row r="1249">
      <c r="B1249" s="9"/>
    </row>
    <row r="1250">
      <c r="B1250" s="9"/>
    </row>
    <row r="1251">
      <c r="B1251" s="9"/>
    </row>
    <row r="1252">
      <c r="B1252" s="9"/>
    </row>
    <row r="1253">
      <c r="B1253" s="9"/>
    </row>
    <row r="1254">
      <c r="B1254" s="9"/>
    </row>
    <row r="1255">
      <c r="B1255" s="9"/>
    </row>
    <row r="1256">
      <c r="B1256" s="9"/>
    </row>
    <row r="1257">
      <c r="B1257" s="9"/>
    </row>
    <row r="1258">
      <c r="B1258" s="9"/>
    </row>
    <row r="1259">
      <c r="B1259" s="9"/>
    </row>
    <row r="1260">
      <c r="B1260" s="9"/>
    </row>
    <row r="1261">
      <c r="B1261" s="9"/>
    </row>
    <row r="1262">
      <c r="B1262" s="9"/>
    </row>
    <row r="1263">
      <c r="B1263" s="9"/>
    </row>
    <row r="1264">
      <c r="B1264" s="9"/>
    </row>
    <row r="1265">
      <c r="B1265" s="9"/>
    </row>
    <row r="1266">
      <c r="B1266" s="9"/>
    </row>
    <row r="1267">
      <c r="B1267" s="9"/>
    </row>
    <row r="1268">
      <c r="B1268" s="9"/>
    </row>
    <row r="1269">
      <c r="B1269" s="9"/>
    </row>
    <row r="1270">
      <c r="B1270" s="9"/>
    </row>
    <row r="1271">
      <c r="B1271" s="9"/>
    </row>
    <row r="1272">
      <c r="B1272" s="9"/>
    </row>
    <row r="1273">
      <c r="B1273" s="9"/>
    </row>
    <row r="1274">
      <c r="B1274" s="9"/>
    </row>
    <row r="1275">
      <c r="B1275" s="9"/>
    </row>
    <row r="1276">
      <c r="B1276" s="9"/>
    </row>
    <row r="1277">
      <c r="B1277" s="9"/>
    </row>
    <row r="1278">
      <c r="B1278" s="9"/>
    </row>
    <row r="1279">
      <c r="B1279" s="9"/>
    </row>
    <row r="1280">
      <c r="B1280" s="9"/>
    </row>
    <row r="1281">
      <c r="B1281" s="9"/>
    </row>
    <row r="1282">
      <c r="B1282" s="9"/>
    </row>
    <row r="1283">
      <c r="B1283" s="9"/>
    </row>
    <row r="1284">
      <c r="B1284" s="9"/>
    </row>
    <row r="1285">
      <c r="B1285" s="9"/>
    </row>
    <row r="1286">
      <c r="B1286" s="9"/>
    </row>
    <row r="1287">
      <c r="B1287" s="9"/>
    </row>
    <row r="1288">
      <c r="B1288" s="9"/>
    </row>
    <row r="1289">
      <c r="B1289" s="9"/>
    </row>
    <row r="1290">
      <c r="B1290" s="9"/>
    </row>
    <row r="1291">
      <c r="B1291" s="9"/>
    </row>
    <row r="1292">
      <c r="B1292" s="9"/>
    </row>
    <row r="1293">
      <c r="B1293" s="9"/>
    </row>
    <row r="1294">
      <c r="B1294" s="9"/>
    </row>
    <row r="1295">
      <c r="B1295" s="9"/>
    </row>
    <row r="1296">
      <c r="B1296" s="9"/>
    </row>
    <row r="1297">
      <c r="B1297" s="9"/>
    </row>
    <row r="1298">
      <c r="B1298" s="9"/>
    </row>
    <row r="1299">
      <c r="B1299" s="9"/>
    </row>
    <row r="1300">
      <c r="B1300" s="9"/>
    </row>
    <row r="1301">
      <c r="B1301" s="9"/>
    </row>
    <row r="1302">
      <c r="B1302" s="9"/>
    </row>
    <row r="1303">
      <c r="B1303" s="9"/>
    </row>
    <row r="1304">
      <c r="B1304" s="9"/>
    </row>
    <row r="1305">
      <c r="B1305" s="9"/>
    </row>
    <row r="1306">
      <c r="B1306" s="9"/>
    </row>
    <row r="1307">
      <c r="B1307" s="9"/>
    </row>
    <row r="1308">
      <c r="B1308" s="9"/>
    </row>
    <row r="1309">
      <c r="B1309" s="9"/>
    </row>
    <row r="1310">
      <c r="B1310" s="9"/>
    </row>
    <row r="1311">
      <c r="B1311" s="9"/>
    </row>
    <row r="1312">
      <c r="B1312" s="9"/>
    </row>
    <row r="1313">
      <c r="B1313" s="9"/>
    </row>
    <row r="1314">
      <c r="B1314" s="9"/>
    </row>
    <row r="1315">
      <c r="B1315" s="9"/>
    </row>
    <row r="1316">
      <c r="B1316" s="9"/>
    </row>
    <row r="1317">
      <c r="B1317" s="9"/>
    </row>
    <row r="1318">
      <c r="B1318" s="9"/>
    </row>
    <row r="1319">
      <c r="B1319" s="9"/>
    </row>
    <row r="1320">
      <c r="B1320" s="9"/>
    </row>
    <row r="1321">
      <c r="B1321" s="9"/>
    </row>
    <row r="1322">
      <c r="B1322" s="9"/>
    </row>
    <row r="1323">
      <c r="B1323" s="9"/>
    </row>
    <row r="1324">
      <c r="B1324" s="9"/>
    </row>
    <row r="1325">
      <c r="B1325" s="9"/>
    </row>
    <row r="1326">
      <c r="B1326" s="9"/>
    </row>
    <row r="1327">
      <c r="B1327" s="9"/>
    </row>
    <row r="1328">
      <c r="B1328" s="9"/>
    </row>
    <row r="1329">
      <c r="B1329" s="9"/>
    </row>
    <row r="1330">
      <c r="B1330" s="9"/>
    </row>
    <row r="1331">
      <c r="B1331" s="9"/>
    </row>
    <row r="1332">
      <c r="B1332" s="9"/>
    </row>
    <row r="1333">
      <c r="B1333" s="9"/>
    </row>
    <row r="1334">
      <c r="B1334" s="9"/>
    </row>
    <row r="1335">
      <c r="B1335" s="9"/>
    </row>
    <row r="1336">
      <c r="B1336" s="9"/>
    </row>
    <row r="1337">
      <c r="B1337" s="9"/>
    </row>
    <row r="1338">
      <c r="B1338" s="9"/>
    </row>
    <row r="1339">
      <c r="B1339" s="9"/>
    </row>
    <row r="1340">
      <c r="B1340" s="9"/>
    </row>
    <row r="1341">
      <c r="B1341" s="9"/>
    </row>
    <row r="1342">
      <c r="B1342" s="9"/>
    </row>
    <row r="1343">
      <c r="B1343" s="9"/>
    </row>
    <row r="1344">
      <c r="B1344" s="9"/>
    </row>
    <row r="1345">
      <c r="B1345" s="9"/>
    </row>
    <row r="1346">
      <c r="B1346" s="9"/>
    </row>
    <row r="1347">
      <c r="B1347" s="9"/>
    </row>
    <row r="1348">
      <c r="B1348" s="9"/>
    </row>
    <row r="1349">
      <c r="B1349" s="9"/>
    </row>
    <row r="1350">
      <c r="B1350" s="9"/>
    </row>
    <row r="1351">
      <c r="B1351" s="9"/>
    </row>
    <row r="1352">
      <c r="B1352" s="9"/>
    </row>
    <row r="1353">
      <c r="B1353" s="9"/>
    </row>
    <row r="1354">
      <c r="B1354" s="9"/>
    </row>
    <row r="1355">
      <c r="B1355" s="9"/>
    </row>
    <row r="1356">
      <c r="B1356" s="9"/>
    </row>
    <row r="1357">
      <c r="B1357" s="9"/>
    </row>
    <row r="1358">
      <c r="B1358" s="9"/>
    </row>
    <row r="1359">
      <c r="B1359" s="9"/>
    </row>
    <row r="1360">
      <c r="B1360" s="9"/>
    </row>
    <row r="1361">
      <c r="B1361" s="9"/>
    </row>
    <row r="1362">
      <c r="B1362" s="9"/>
    </row>
    <row r="1363">
      <c r="B1363" s="9"/>
    </row>
    <row r="1364">
      <c r="B1364" s="9"/>
    </row>
    <row r="1365">
      <c r="B1365" s="9"/>
    </row>
    <row r="1366">
      <c r="B1366" s="9"/>
    </row>
    <row r="1367">
      <c r="B1367" s="9"/>
    </row>
    <row r="1368">
      <c r="B1368" s="9"/>
    </row>
    <row r="1369">
      <c r="B1369" s="9"/>
    </row>
    <row r="1370">
      <c r="B1370" s="9"/>
    </row>
    <row r="1371">
      <c r="B1371" s="9"/>
    </row>
    <row r="1372">
      <c r="B1372" s="9"/>
    </row>
    <row r="1373">
      <c r="B1373" s="9"/>
    </row>
    <row r="1374">
      <c r="B1374" s="9"/>
    </row>
    <row r="1375">
      <c r="B1375" s="9"/>
    </row>
    <row r="1376">
      <c r="B1376" s="9"/>
    </row>
    <row r="1377">
      <c r="B1377" s="9"/>
    </row>
    <row r="1378">
      <c r="B1378" s="9"/>
    </row>
    <row r="1379">
      <c r="B1379" s="9"/>
    </row>
    <row r="1380">
      <c r="B1380" s="9"/>
    </row>
    <row r="1381">
      <c r="B1381" s="9"/>
    </row>
    <row r="1382">
      <c r="B1382" s="9"/>
    </row>
    <row r="1383">
      <c r="B1383" s="9"/>
    </row>
    <row r="1384">
      <c r="B1384" s="9"/>
    </row>
    <row r="1385">
      <c r="B1385" s="9"/>
    </row>
    <row r="1386">
      <c r="B1386" s="9"/>
    </row>
    <row r="1387">
      <c r="B1387" s="9"/>
    </row>
    <row r="1388">
      <c r="B1388" s="9"/>
    </row>
    <row r="1389">
      <c r="B1389" s="9"/>
    </row>
    <row r="1390">
      <c r="B1390" s="9"/>
    </row>
    <row r="1391">
      <c r="B1391" s="9"/>
    </row>
    <row r="1392">
      <c r="B1392" s="9"/>
    </row>
    <row r="1393">
      <c r="B1393" s="9"/>
    </row>
    <row r="1394">
      <c r="B1394" s="9"/>
    </row>
    <row r="1395">
      <c r="B1395" s="9"/>
    </row>
    <row r="1396">
      <c r="B1396" s="9"/>
    </row>
    <row r="1397">
      <c r="B1397" s="9"/>
    </row>
    <row r="1398">
      <c r="B1398" s="9"/>
    </row>
    <row r="1399">
      <c r="B1399" s="9"/>
    </row>
    <row r="1400">
      <c r="B1400" s="9"/>
    </row>
    <row r="1401">
      <c r="B1401" s="9"/>
    </row>
    <row r="1402">
      <c r="B1402" s="9"/>
    </row>
    <row r="1403">
      <c r="B1403" s="9"/>
    </row>
    <row r="1404">
      <c r="B1404" s="9"/>
    </row>
    <row r="1405">
      <c r="B1405" s="9"/>
    </row>
    <row r="1406">
      <c r="B1406" s="9"/>
    </row>
    <row r="1407">
      <c r="B1407" s="9"/>
    </row>
    <row r="1408">
      <c r="B1408" s="9"/>
    </row>
    <row r="1409">
      <c r="B1409" s="9"/>
    </row>
    <row r="1410">
      <c r="B1410" s="9"/>
    </row>
    <row r="1411">
      <c r="B1411" s="9"/>
    </row>
    <row r="1412">
      <c r="B1412" s="9"/>
    </row>
    <row r="1413">
      <c r="B1413" s="9"/>
    </row>
    <row r="1414">
      <c r="B1414" s="9"/>
    </row>
    <row r="1415">
      <c r="B1415" s="9"/>
    </row>
    <row r="1416">
      <c r="B1416" s="9"/>
    </row>
    <row r="1417">
      <c r="B1417" s="9"/>
    </row>
    <row r="1418">
      <c r="B1418" s="9"/>
    </row>
    <row r="1419">
      <c r="B1419" s="9"/>
    </row>
    <row r="1420">
      <c r="B1420" s="9"/>
    </row>
    <row r="1421">
      <c r="B1421" s="9"/>
    </row>
    <row r="1422">
      <c r="B1422" s="9"/>
    </row>
    <row r="1423">
      <c r="B1423" s="9"/>
    </row>
    <row r="1424">
      <c r="B1424" s="9"/>
    </row>
    <row r="1425">
      <c r="B1425" s="9"/>
    </row>
    <row r="1426">
      <c r="B1426" s="9"/>
    </row>
    <row r="1427">
      <c r="B1427" s="9"/>
    </row>
    <row r="1428">
      <c r="B1428" s="9"/>
    </row>
    <row r="1429">
      <c r="B1429" s="9"/>
    </row>
    <row r="1430">
      <c r="B1430" s="9"/>
    </row>
    <row r="1431">
      <c r="B1431" s="9"/>
    </row>
    <row r="1432">
      <c r="B1432" s="9"/>
    </row>
    <row r="1433">
      <c r="B1433" s="9"/>
    </row>
    <row r="1434">
      <c r="B1434" s="9"/>
    </row>
    <row r="1435">
      <c r="B1435" s="9"/>
    </row>
    <row r="1436">
      <c r="B1436" s="9"/>
    </row>
    <row r="1437">
      <c r="B1437" s="9"/>
    </row>
    <row r="1438">
      <c r="B1438" s="9"/>
    </row>
    <row r="1439">
      <c r="B1439" s="9"/>
    </row>
    <row r="1440">
      <c r="B1440" s="9"/>
    </row>
    <row r="1441">
      <c r="B1441" s="9"/>
    </row>
    <row r="1442">
      <c r="B1442" s="9"/>
    </row>
    <row r="1443">
      <c r="B1443" s="9"/>
    </row>
    <row r="1444">
      <c r="B1444" s="9"/>
    </row>
    <row r="1445">
      <c r="B1445" s="9"/>
    </row>
    <row r="1446">
      <c r="B1446" s="9"/>
    </row>
    <row r="1447">
      <c r="B1447" s="9"/>
    </row>
    <row r="1448">
      <c r="B1448" s="9"/>
    </row>
    <row r="1449">
      <c r="B1449" s="9"/>
    </row>
    <row r="1450">
      <c r="B1450" s="9"/>
    </row>
    <row r="1451">
      <c r="B1451" s="9"/>
    </row>
    <row r="1452">
      <c r="B1452" s="9"/>
    </row>
    <row r="1453">
      <c r="B1453" s="9"/>
    </row>
    <row r="1454">
      <c r="B1454" s="9"/>
    </row>
    <row r="1455">
      <c r="B1455" s="9"/>
    </row>
    <row r="1456">
      <c r="B1456" s="9"/>
    </row>
    <row r="1457">
      <c r="B1457" s="9"/>
    </row>
    <row r="1458">
      <c r="B1458" s="9"/>
    </row>
    <row r="1459">
      <c r="B1459" s="9"/>
    </row>
    <row r="1460">
      <c r="B1460" s="9"/>
    </row>
    <row r="1461">
      <c r="B1461" s="9"/>
    </row>
    <row r="1462">
      <c r="B1462" s="9"/>
    </row>
    <row r="1463">
      <c r="B1463" s="9"/>
    </row>
    <row r="1464">
      <c r="B1464" s="9"/>
    </row>
    <row r="1465">
      <c r="B1465" s="9"/>
    </row>
    <row r="1466">
      <c r="B1466" s="9"/>
    </row>
    <row r="1467">
      <c r="B1467" s="9"/>
    </row>
    <row r="1468">
      <c r="B1468" s="9"/>
    </row>
    <row r="1469">
      <c r="B1469" s="9"/>
    </row>
    <row r="1470">
      <c r="B1470" s="9"/>
    </row>
    <row r="1471">
      <c r="B1471" s="9"/>
    </row>
    <row r="1472">
      <c r="B1472" s="9"/>
    </row>
    <row r="1473">
      <c r="B1473" s="9"/>
    </row>
    <row r="1474">
      <c r="B1474" s="9"/>
    </row>
    <row r="1475">
      <c r="B1475" s="9"/>
    </row>
    <row r="1476">
      <c r="B1476" s="9"/>
    </row>
    <row r="1477">
      <c r="B1477" s="9"/>
    </row>
    <row r="1478">
      <c r="B1478" s="9"/>
    </row>
    <row r="1479">
      <c r="B1479" s="9"/>
    </row>
    <row r="1480">
      <c r="B1480" s="9"/>
    </row>
    <row r="1481">
      <c r="B1481" s="9"/>
    </row>
    <row r="1482">
      <c r="B1482" s="9"/>
    </row>
    <row r="1483">
      <c r="B1483" s="9"/>
    </row>
    <row r="1484">
      <c r="B1484" s="9"/>
    </row>
    <row r="1485">
      <c r="B1485" s="9"/>
    </row>
    <row r="1486">
      <c r="B1486" s="9"/>
    </row>
    <row r="1487">
      <c r="B1487" s="9"/>
    </row>
    <row r="1488">
      <c r="B1488" s="9"/>
    </row>
    <row r="1489">
      <c r="B1489" s="9"/>
    </row>
    <row r="1490">
      <c r="B1490" s="9"/>
    </row>
    <row r="1491">
      <c r="B1491" s="9"/>
    </row>
    <row r="1492">
      <c r="B1492" s="9"/>
    </row>
    <row r="1493">
      <c r="B1493" s="9"/>
    </row>
    <row r="1494">
      <c r="B1494" s="9"/>
    </row>
    <row r="1495">
      <c r="B1495" s="9"/>
    </row>
    <row r="1496">
      <c r="B1496" s="9"/>
    </row>
    <row r="1497">
      <c r="B1497" s="9"/>
    </row>
    <row r="1498">
      <c r="B1498" s="9"/>
    </row>
    <row r="1499">
      <c r="B1499" s="9"/>
    </row>
    <row r="1500">
      <c r="B1500" s="9"/>
    </row>
    <row r="1501">
      <c r="B1501" s="9"/>
    </row>
    <row r="1502">
      <c r="B1502" s="9"/>
    </row>
    <row r="1503">
      <c r="B1503" s="9"/>
    </row>
    <row r="1504">
      <c r="B1504" s="9"/>
    </row>
    <row r="1505">
      <c r="B1505" s="9"/>
    </row>
    <row r="1506">
      <c r="B1506" s="9"/>
    </row>
    <row r="1507">
      <c r="B1507" s="9"/>
    </row>
    <row r="1508">
      <c r="B1508" s="9"/>
    </row>
    <row r="1509">
      <c r="B1509" s="9"/>
    </row>
    <row r="1510">
      <c r="B1510" s="9"/>
    </row>
    <row r="1511">
      <c r="B1511" s="9"/>
    </row>
    <row r="1512">
      <c r="B1512" s="9"/>
    </row>
    <row r="1513">
      <c r="B1513" s="9"/>
    </row>
    <row r="1514">
      <c r="B1514" s="9"/>
    </row>
    <row r="1515">
      <c r="B1515" s="9"/>
    </row>
    <row r="1516">
      <c r="B1516" s="9"/>
    </row>
    <row r="1517">
      <c r="B1517" s="9"/>
    </row>
    <row r="1518">
      <c r="B1518" s="9"/>
    </row>
    <row r="1519">
      <c r="B1519" s="9"/>
    </row>
    <row r="1520">
      <c r="B1520" s="9"/>
    </row>
    <row r="1521">
      <c r="B1521" s="9"/>
    </row>
    <row r="1522">
      <c r="B1522" s="9"/>
    </row>
    <row r="1523">
      <c r="B1523" s="9"/>
    </row>
    <row r="1524">
      <c r="B1524" s="9"/>
    </row>
    <row r="1525">
      <c r="B1525" s="9"/>
    </row>
    <row r="1526">
      <c r="B1526" s="9"/>
    </row>
    <row r="1527">
      <c r="B1527" s="9"/>
    </row>
    <row r="1528">
      <c r="B1528" s="9"/>
    </row>
    <row r="1529">
      <c r="B1529" s="9"/>
    </row>
    <row r="1530">
      <c r="B1530" s="9"/>
    </row>
    <row r="1531">
      <c r="B1531" s="9"/>
    </row>
    <row r="1532">
      <c r="B1532" s="9"/>
    </row>
    <row r="1533">
      <c r="B1533" s="9"/>
    </row>
    <row r="1534">
      <c r="B1534" s="9"/>
    </row>
    <row r="1535">
      <c r="B1535" s="9"/>
    </row>
    <row r="1536">
      <c r="B1536" s="9"/>
    </row>
    <row r="1537">
      <c r="B1537" s="9"/>
    </row>
    <row r="1538">
      <c r="B1538" s="9"/>
    </row>
    <row r="1539">
      <c r="B1539" s="9"/>
    </row>
    <row r="1540">
      <c r="B1540" s="9"/>
    </row>
    <row r="1541">
      <c r="B1541" s="9"/>
    </row>
    <row r="1542">
      <c r="B1542" s="9"/>
    </row>
    <row r="1543">
      <c r="B1543" s="9"/>
    </row>
    <row r="1544">
      <c r="B1544" s="9"/>
    </row>
    <row r="1545">
      <c r="B1545" s="9"/>
    </row>
    <row r="1546">
      <c r="B1546" s="9"/>
    </row>
    <row r="1547">
      <c r="B1547" s="9"/>
    </row>
    <row r="1548">
      <c r="B1548" s="9"/>
    </row>
    <row r="1549">
      <c r="B1549" s="9"/>
    </row>
    <row r="1550">
      <c r="B1550" s="9"/>
    </row>
    <row r="1551">
      <c r="B1551" s="9"/>
    </row>
    <row r="1552">
      <c r="B1552" s="9"/>
    </row>
    <row r="1553">
      <c r="B1553" s="9"/>
    </row>
    <row r="1554">
      <c r="B1554" s="9"/>
    </row>
    <row r="1555">
      <c r="B1555" s="9"/>
    </row>
    <row r="1556">
      <c r="B1556" s="9"/>
    </row>
    <row r="1557">
      <c r="B1557" s="9"/>
    </row>
    <row r="1558">
      <c r="B1558" s="9"/>
    </row>
    <row r="1559">
      <c r="B1559" s="9"/>
    </row>
    <row r="1560">
      <c r="B1560" s="9"/>
    </row>
    <row r="1561">
      <c r="B1561" s="9"/>
    </row>
    <row r="1562">
      <c r="B1562" s="9"/>
    </row>
    <row r="1563">
      <c r="B1563" s="9"/>
    </row>
    <row r="1564">
      <c r="B1564" s="9"/>
    </row>
    <row r="1565">
      <c r="B1565" s="9"/>
    </row>
    <row r="1566">
      <c r="B1566" s="9"/>
    </row>
    <row r="1567">
      <c r="B1567" s="9"/>
    </row>
    <row r="1568">
      <c r="B1568" s="9"/>
    </row>
    <row r="1569">
      <c r="B1569" s="9"/>
    </row>
    <row r="1570">
      <c r="B1570" s="9"/>
    </row>
    <row r="1571">
      <c r="B1571" s="9"/>
    </row>
    <row r="1572">
      <c r="B1572" s="9"/>
    </row>
    <row r="1573">
      <c r="B1573" s="9"/>
    </row>
    <row r="1574">
      <c r="B1574" s="9"/>
    </row>
    <row r="1575">
      <c r="B1575" s="9"/>
    </row>
    <row r="1576">
      <c r="B1576" s="9"/>
    </row>
    <row r="1577">
      <c r="B1577" s="9"/>
    </row>
    <row r="1578">
      <c r="B1578" s="9"/>
    </row>
    <row r="1579">
      <c r="B1579" s="9"/>
    </row>
    <row r="1580">
      <c r="B1580" s="9"/>
    </row>
    <row r="1581">
      <c r="B1581" s="9"/>
    </row>
    <row r="1582">
      <c r="B1582" s="9"/>
    </row>
    <row r="1583">
      <c r="B1583" s="9"/>
    </row>
    <row r="1584">
      <c r="B1584" s="9"/>
    </row>
    <row r="1585">
      <c r="B1585" s="9"/>
    </row>
    <row r="1586">
      <c r="B1586" s="9"/>
    </row>
    <row r="1587">
      <c r="B1587" s="9"/>
    </row>
    <row r="1588">
      <c r="B1588" s="9"/>
    </row>
    <row r="1589">
      <c r="B1589" s="9"/>
    </row>
    <row r="1590">
      <c r="B1590" s="9"/>
    </row>
    <row r="1591">
      <c r="B1591" s="9"/>
    </row>
    <row r="1592">
      <c r="B1592" s="9"/>
    </row>
    <row r="1593">
      <c r="B1593" s="9"/>
    </row>
    <row r="1594">
      <c r="B1594" s="9"/>
    </row>
    <row r="1595">
      <c r="B1595" s="9"/>
    </row>
    <row r="1596">
      <c r="B1596" s="9"/>
    </row>
    <row r="1597">
      <c r="B1597" s="9"/>
    </row>
    <row r="1598">
      <c r="B1598" s="9"/>
    </row>
    <row r="1599">
      <c r="B1599" s="9"/>
    </row>
    <row r="1600">
      <c r="B1600" s="9"/>
    </row>
    <row r="1601">
      <c r="B1601" s="9"/>
    </row>
    <row r="1602">
      <c r="B1602" s="9"/>
    </row>
    <row r="1603">
      <c r="B1603" s="9"/>
    </row>
    <row r="1604">
      <c r="B1604" s="9"/>
    </row>
    <row r="1605">
      <c r="B1605" s="9"/>
    </row>
    <row r="1606">
      <c r="B1606" s="9"/>
    </row>
    <row r="1607">
      <c r="B1607" s="9"/>
    </row>
    <row r="1608">
      <c r="B1608" s="9"/>
    </row>
    <row r="1609">
      <c r="B1609" s="9"/>
    </row>
    <row r="1610">
      <c r="B1610" s="9"/>
    </row>
    <row r="1611">
      <c r="B1611" s="9"/>
    </row>
    <row r="1612">
      <c r="B1612" s="9"/>
    </row>
    <row r="1613">
      <c r="B1613" s="9"/>
    </row>
    <row r="1614">
      <c r="B1614" s="9"/>
    </row>
    <row r="1615">
      <c r="B1615" s="9"/>
    </row>
    <row r="1616">
      <c r="B1616" s="9"/>
    </row>
    <row r="1617">
      <c r="B1617" s="9"/>
    </row>
    <row r="1618">
      <c r="B1618" s="9"/>
    </row>
    <row r="1619">
      <c r="B1619" s="9"/>
    </row>
    <row r="1620">
      <c r="B1620" s="9"/>
    </row>
    <row r="1621">
      <c r="B1621" s="9"/>
    </row>
    <row r="1622">
      <c r="B1622" s="9"/>
    </row>
    <row r="1623">
      <c r="B1623" s="9"/>
    </row>
    <row r="1624">
      <c r="B1624" s="9"/>
    </row>
    <row r="1625">
      <c r="B1625" s="9"/>
    </row>
    <row r="1626">
      <c r="B1626" s="9"/>
    </row>
    <row r="1627">
      <c r="B1627" s="9"/>
    </row>
    <row r="1628">
      <c r="B1628" s="9"/>
    </row>
    <row r="1629">
      <c r="B1629" s="9"/>
    </row>
    <row r="1630">
      <c r="B1630" s="9"/>
    </row>
    <row r="1631">
      <c r="B1631" s="9"/>
    </row>
    <row r="1632">
      <c r="B1632" s="9"/>
    </row>
    <row r="1633">
      <c r="B1633" s="9"/>
    </row>
    <row r="1634">
      <c r="B1634" s="9"/>
    </row>
    <row r="1635">
      <c r="B1635" s="9"/>
    </row>
    <row r="1636">
      <c r="B1636" s="9"/>
    </row>
    <row r="1637">
      <c r="B1637" s="9"/>
    </row>
    <row r="1638">
      <c r="B1638" s="9"/>
    </row>
    <row r="1639">
      <c r="B1639" s="9"/>
    </row>
    <row r="1640">
      <c r="B1640" s="9"/>
    </row>
    <row r="1641">
      <c r="B1641" s="9"/>
    </row>
    <row r="1642">
      <c r="B1642" s="9"/>
    </row>
    <row r="1643">
      <c r="B1643" s="9"/>
    </row>
    <row r="1644">
      <c r="B1644" s="9"/>
    </row>
    <row r="1645">
      <c r="B1645" s="9"/>
    </row>
    <row r="1646">
      <c r="B1646" s="9"/>
    </row>
    <row r="1647">
      <c r="B1647" s="9"/>
    </row>
    <row r="1648">
      <c r="B1648" s="9"/>
    </row>
    <row r="1649">
      <c r="B1649" s="9"/>
    </row>
    <row r="1650">
      <c r="B1650" s="9"/>
    </row>
    <row r="1651">
      <c r="B1651" s="9"/>
    </row>
    <row r="1652">
      <c r="B1652" s="9"/>
    </row>
    <row r="1653">
      <c r="B1653" s="9"/>
    </row>
    <row r="1654">
      <c r="B1654" s="9"/>
    </row>
    <row r="1655">
      <c r="B1655" s="9"/>
    </row>
    <row r="1656">
      <c r="B1656" s="9"/>
    </row>
    <row r="1657">
      <c r="B1657" s="9"/>
    </row>
    <row r="1658">
      <c r="B1658" s="9"/>
    </row>
    <row r="1659">
      <c r="B1659" s="9"/>
    </row>
    <row r="1660">
      <c r="B1660" s="9"/>
    </row>
    <row r="1661">
      <c r="B1661" s="9"/>
    </row>
    <row r="1662">
      <c r="B1662" s="9"/>
    </row>
    <row r="1663">
      <c r="B1663" s="9"/>
    </row>
    <row r="1664">
      <c r="B1664" s="9"/>
    </row>
    <row r="1665">
      <c r="B1665" s="9"/>
    </row>
    <row r="1666">
      <c r="B1666" s="9"/>
    </row>
    <row r="1667">
      <c r="B1667" s="9"/>
    </row>
    <row r="1668">
      <c r="B1668" s="9"/>
    </row>
    <row r="1669">
      <c r="B1669" s="9"/>
    </row>
    <row r="1670">
      <c r="B1670" s="9"/>
    </row>
    <row r="1671">
      <c r="B1671" s="9"/>
    </row>
    <row r="1672">
      <c r="B1672" s="9"/>
    </row>
    <row r="1673">
      <c r="B1673" s="9"/>
    </row>
    <row r="1674">
      <c r="B1674" s="9"/>
    </row>
    <row r="1675">
      <c r="B1675" s="9"/>
    </row>
    <row r="1676">
      <c r="B1676" s="9"/>
    </row>
    <row r="1677">
      <c r="B1677" s="9"/>
    </row>
    <row r="1678">
      <c r="B1678" s="9"/>
    </row>
    <row r="1679">
      <c r="B1679" s="9"/>
    </row>
    <row r="1680">
      <c r="B1680" s="9"/>
    </row>
    <row r="1681">
      <c r="B1681" s="9"/>
    </row>
    <row r="1682">
      <c r="B1682" s="9"/>
    </row>
    <row r="1683">
      <c r="B1683" s="9"/>
    </row>
    <row r="1684">
      <c r="B1684" s="9"/>
    </row>
    <row r="1685">
      <c r="B1685" s="9"/>
    </row>
    <row r="1686">
      <c r="B1686" s="9"/>
    </row>
    <row r="1687">
      <c r="B1687" s="9"/>
    </row>
    <row r="1688">
      <c r="B1688" s="9"/>
    </row>
    <row r="1689">
      <c r="B1689" s="9"/>
    </row>
    <row r="1690">
      <c r="B1690" s="9"/>
    </row>
    <row r="1691">
      <c r="B1691" s="9"/>
    </row>
    <row r="1692">
      <c r="B1692" s="9"/>
    </row>
    <row r="1693">
      <c r="B1693" s="9"/>
    </row>
    <row r="1694">
      <c r="B1694" s="9"/>
    </row>
    <row r="1695">
      <c r="B1695" s="9"/>
    </row>
    <row r="1696">
      <c r="B1696" s="9"/>
    </row>
    <row r="1697">
      <c r="B1697" s="9"/>
    </row>
    <row r="1698">
      <c r="B1698" s="9"/>
    </row>
    <row r="1699">
      <c r="B1699" s="9"/>
    </row>
    <row r="1700">
      <c r="B1700" s="9"/>
    </row>
    <row r="1701">
      <c r="B1701" s="9"/>
    </row>
    <row r="1702">
      <c r="B1702" s="9"/>
    </row>
    <row r="1703">
      <c r="B1703" s="9"/>
    </row>
    <row r="1704">
      <c r="B1704" s="9"/>
    </row>
    <row r="1705">
      <c r="B1705" s="9"/>
    </row>
    <row r="1706">
      <c r="B1706" s="9"/>
    </row>
    <row r="1707">
      <c r="B1707" s="9"/>
    </row>
    <row r="1708">
      <c r="B1708" s="9"/>
    </row>
    <row r="1709">
      <c r="B1709" s="9"/>
    </row>
    <row r="1710">
      <c r="B1710" s="9"/>
    </row>
    <row r="1711">
      <c r="B1711" s="9"/>
    </row>
    <row r="1712">
      <c r="B1712" s="9"/>
    </row>
    <row r="1713">
      <c r="B1713" s="9"/>
    </row>
    <row r="1714">
      <c r="B1714" s="9"/>
    </row>
    <row r="1715">
      <c r="B1715" s="9"/>
    </row>
    <row r="1716">
      <c r="B1716" s="9"/>
    </row>
    <row r="1717">
      <c r="B1717" s="9"/>
    </row>
    <row r="1718">
      <c r="B1718" s="9"/>
    </row>
    <row r="1719">
      <c r="B1719" s="9"/>
    </row>
    <row r="1720">
      <c r="B1720" s="9"/>
    </row>
    <row r="1721">
      <c r="B1721" s="9"/>
    </row>
    <row r="1722">
      <c r="B1722" s="9"/>
    </row>
    <row r="1723">
      <c r="B1723" s="9"/>
    </row>
    <row r="1724">
      <c r="B1724" s="9"/>
    </row>
    <row r="1725">
      <c r="B1725" s="9"/>
    </row>
    <row r="1726">
      <c r="B1726" s="9"/>
    </row>
    <row r="1727">
      <c r="B1727" s="9"/>
    </row>
    <row r="1728">
      <c r="B1728" s="9"/>
    </row>
    <row r="1729">
      <c r="B1729" s="9"/>
    </row>
    <row r="1730">
      <c r="B1730" s="9"/>
    </row>
    <row r="1731">
      <c r="B1731" s="9"/>
    </row>
    <row r="1732">
      <c r="B1732" s="9"/>
    </row>
    <row r="1733">
      <c r="B1733" s="9"/>
    </row>
    <row r="1734">
      <c r="B1734" s="9"/>
    </row>
    <row r="1735">
      <c r="B1735" s="9"/>
    </row>
    <row r="1736">
      <c r="B1736" s="9"/>
    </row>
    <row r="1737">
      <c r="B1737" s="9"/>
    </row>
    <row r="1738">
      <c r="B1738" s="9"/>
    </row>
    <row r="1739">
      <c r="B1739" s="9"/>
    </row>
    <row r="1740">
      <c r="B1740" s="9"/>
    </row>
    <row r="1741">
      <c r="B1741" s="9"/>
    </row>
    <row r="1742">
      <c r="B1742" s="9"/>
    </row>
    <row r="1743">
      <c r="B1743" s="9"/>
    </row>
    <row r="1744">
      <c r="B1744" s="9"/>
    </row>
    <row r="1745">
      <c r="B1745" s="9"/>
    </row>
    <row r="1746">
      <c r="B1746" s="9"/>
    </row>
    <row r="1747">
      <c r="B1747" s="9"/>
    </row>
    <row r="1748">
      <c r="B1748" s="9"/>
    </row>
    <row r="1749">
      <c r="B1749" s="9"/>
    </row>
    <row r="1750">
      <c r="B1750" s="9"/>
    </row>
    <row r="1751">
      <c r="B1751" s="9"/>
    </row>
    <row r="1752">
      <c r="B1752" s="9"/>
    </row>
    <row r="1753">
      <c r="B1753" s="9"/>
    </row>
    <row r="1754">
      <c r="B1754" s="9"/>
    </row>
    <row r="1755">
      <c r="B1755" s="9"/>
    </row>
    <row r="1756">
      <c r="B1756" s="9"/>
    </row>
    <row r="1757">
      <c r="B1757" s="9"/>
    </row>
    <row r="1758">
      <c r="B1758" s="9"/>
    </row>
    <row r="1759">
      <c r="B1759" s="9"/>
    </row>
    <row r="1760">
      <c r="B1760" s="9"/>
    </row>
    <row r="1761">
      <c r="B1761" s="9"/>
    </row>
    <row r="1762">
      <c r="B1762" s="9"/>
    </row>
    <row r="1763">
      <c r="B1763" s="9"/>
    </row>
    <row r="1764">
      <c r="B1764" s="9"/>
    </row>
    <row r="1765">
      <c r="B1765" s="9"/>
    </row>
    <row r="1766">
      <c r="B1766" s="9"/>
    </row>
    <row r="1767">
      <c r="B1767" s="9"/>
    </row>
    <row r="1768">
      <c r="B1768" s="9"/>
    </row>
    <row r="1769">
      <c r="B1769" s="9"/>
    </row>
    <row r="1770">
      <c r="B1770" s="9"/>
    </row>
    <row r="1771">
      <c r="B1771" s="9"/>
    </row>
    <row r="1772">
      <c r="B1772" s="9"/>
    </row>
    <row r="1773">
      <c r="B1773" s="9"/>
    </row>
    <row r="1774">
      <c r="B1774" s="9"/>
    </row>
    <row r="1775">
      <c r="B1775" s="9"/>
    </row>
    <row r="1776">
      <c r="B1776" s="9"/>
    </row>
    <row r="1777">
      <c r="B1777" s="9"/>
    </row>
    <row r="1778">
      <c r="B1778" s="9"/>
    </row>
    <row r="1779">
      <c r="B1779" s="9"/>
    </row>
    <row r="1780">
      <c r="B1780" s="9"/>
    </row>
    <row r="1781">
      <c r="B1781" s="9"/>
    </row>
    <row r="1782">
      <c r="B1782" s="9"/>
    </row>
    <row r="1783">
      <c r="B1783" s="9"/>
    </row>
    <row r="1784">
      <c r="B1784" s="9"/>
    </row>
    <row r="1785">
      <c r="B1785" s="9"/>
    </row>
    <row r="1786">
      <c r="B1786" s="9"/>
    </row>
    <row r="1787">
      <c r="B1787" s="9"/>
    </row>
    <row r="1788">
      <c r="B1788" s="9"/>
    </row>
    <row r="1789">
      <c r="B1789" s="9"/>
    </row>
    <row r="1790">
      <c r="B1790" s="9"/>
    </row>
    <row r="1791">
      <c r="B1791" s="9"/>
    </row>
    <row r="1792">
      <c r="B1792" s="9"/>
    </row>
    <row r="1793">
      <c r="B1793" s="9"/>
    </row>
    <row r="1794">
      <c r="B1794" s="9"/>
    </row>
    <row r="1795">
      <c r="B1795" s="9"/>
    </row>
    <row r="1796">
      <c r="B1796" s="9"/>
    </row>
    <row r="1797">
      <c r="B1797" s="9"/>
    </row>
    <row r="1798">
      <c r="B1798" s="9"/>
    </row>
    <row r="1799">
      <c r="B1799" s="9"/>
    </row>
    <row r="1800">
      <c r="B1800" s="9"/>
    </row>
    <row r="1801">
      <c r="B1801" s="9"/>
    </row>
    <row r="1802">
      <c r="B1802" s="9"/>
    </row>
    <row r="1803">
      <c r="B1803" s="9"/>
    </row>
    <row r="1804">
      <c r="B1804" s="9"/>
    </row>
    <row r="1805">
      <c r="B1805" s="9"/>
    </row>
    <row r="1806">
      <c r="B1806" s="9"/>
    </row>
    <row r="1807">
      <c r="B1807" s="9"/>
    </row>
    <row r="1808">
      <c r="B1808" s="9"/>
    </row>
    <row r="1809">
      <c r="B1809" s="9"/>
    </row>
    <row r="1810">
      <c r="B1810" s="9"/>
    </row>
    <row r="1811">
      <c r="B1811" s="9"/>
    </row>
    <row r="1812">
      <c r="B1812" s="9"/>
    </row>
    <row r="1813">
      <c r="B1813" s="9"/>
    </row>
    <row r="1814">
      <c r="B1814" s="9"/>
    </row>
    <row r="1815">
      <c r="B1815" s="9"/>
    </row>
    <row r="1816">
      <c r="B1816" s="9"/>
    </row>
    <row r="1817">
      <c r="B1817" s="9"/>
    </row>
    <row r="1818">
      <c r="B1818" s="9"/>
    </row>
    <row r="1819">
      <c r="B1819" s="9"/>
    </row>
    <row r="1820">
      <c r="B1820" s="9"/>
    </row>
    <row r="1821">
      <c r="B1821" s="9"/>
    </row>
    <row r="1822">
      <c r="B1822" s="9"/>
    </row>
    <row r="1823">
      <c r="B1823" s="9"/>
    </row>
    <row r="1824">
      <c r="B1824" s="9"/>
    </row>
    <row r="1825">
      <c r="B1825" s="9"/>
    </row>
    <row r="1826">
      <c r="B1826" s="9"/>
    </row>
    <row r="1827">
      <c r="B1827" s="9"/>
    </row>
    <row r="1828">
      <c r="B1828" s="9"/>
    </row>
    <row r="1829">
      <c r="B1829" s="9"/>
    </row>
    <row r="1830">
      <c r="B1830" s="9"/>
    </row>
    <row r="1831">
      <c r="B1831" s="9"/>
    </row>
    <row r="1832">
      <c r="B1832" s="9"/>
    </row>
    <row r="1833">
      <c r="B1833" s="9"/>
    </row>
    <row r="1834">
      <c r="B1834" s="9"/>
    </row>
    <row r="1835">
      <c r="B1835" s="9"/>
    </row>
    <row r="1836">
      <c r="B1836" s="9"/>
    </row>
    <row r="1837">
      <c r="B1837" s="9"/>
    </row>
    <row r="1838">
      <c r="B1838" s="9"/>
    </row>
    <row r="1839">
      <c r="B1839" s="9"/>
    </row>
    <row r="1840">
      <c r="B1840" s="9"/>
    </row>
    <row r="1841">
      <c r="B1841" s="9"/>
    </row>
    <row r="1842">
      <c r="B1842" s="9"/>
    </row>
    <row r="1843">
      <c r="B1843" s="9"/>
    </row>
    <row r="1844">
      <c r="B1844" s="9"/>
    </row>
    <row r="1845">
      <c r="B1845" s="9"/>
    </row>
    <row r="1846">
      <c r="B1846" s="9"/>
    </row>
    <row r="1847">
      <c r="B1847" s="9"/>
    </row>
    <row r="1848">
      <c r="B1848" s="9"/>
    </row>
    <row r="1849">
      <c r="B1849" s="9"/>
    </row>
    <row r="1850">
      <c r="B1850" s="9"/>
    </row>
    <row r="1851">
      <c r="B1851" s="9"/>
    </row>
    <row r="1852">
      <c r="B1852" s="9"/>
    </row>
    <row r="1853">
      <c r="B1853" s="9"/>
    </row>
    <row r="1854">
      <c r="B1854" s="9"/>
    </row>
    <row r="1855">
      <c r="B1855" s="9"/>
    </row>
    <row r="1856">
      <c r="B1856" s="9"/>
    </row>
    <row r="1857">
      <c r="B1857" s="9"/>
    </row>
    <row r="1858">
      <c r="B1858" s="9"/>
    </row>
    <row r="1859">
      <c r="B1859" s="9"/>
    </row>
    <row r="1860">
      <c r="B1860" s="9"/>
    </row>
    <row r="1861">
      <c r="B1861" s="9"/>
    </row>
    <row r="1862">
      <c r="B1862" s="9"/>
    </row>
    <row r="1863">
      <c r="B1863" s="9"/>
    </row>
    <row r="1864">
      <c r="B1864" s="9"/>
    </row>
    <row r="1865">
      <c r="B1865" s="9"/>
    </row>
    <row r="1866">
      <c r="B1866" s="9"/>
    </row>
    <row r="1867">
      <c r="B1867" s="9"/>
    </row>
    <row r="1868">
      <c r="B1868" s="9"/>
    </row>
    <row r="1869">
      <c r="B1869" s="9"/>
    </row>
    <row r="1870">
      <c r="B1870" s="9"/>
    </row>
    <row r="1871">
      <c r="B1871" s="9"/>
    </row>
    <row r="1872">
      <c r="B1872" s="9"/>
    </row>
    <row r="1873">
      <c r="B1873" s="9"/>
    </row>
    <row r="1874">
      <c r="B1874" s="9"/>
    </row>
    <row r="1875">
      <c r="B1875" s="9"/>
    </row>
    <row r="1876">
      <c r="B1876" s="9"/>
    </row>
    <row r="1877">
      <c r="B1877" s="9"/>
    </row>
    <row r="1878">
      <c r="B1878" s="9"/>
    </row>
    <row r="1879">
      <c r="B1879" s="9"/>
    </row>
    <row r="1880">
      <c r="B1880" s="9"/>
    </row>
    <row r="1881">
      <c r="B1881" s="9"/>
    </row>
    <row r="1882">
      <c r="B1882" s="9"/>
    </row>
    <row r="1883">
      <c r="B1883" s="9"/>
    </row>
    <row r="1884">
      <c r="B1884" s="9"/>
    </row>
    <row r="1885">
      <c r="B1885" s="9"/>
    </row>
    <row r="1886">
      <c r="B1886" s="9"/>
    </row>
    <row r="1887">
      <c r="B1887" s="9"/>
    </row>
    <row r="1888">
      <c r="B1888" s="9"/>
    </row>
    <row r="1889">
      <c r="B1889" s="9"/>
    </row>
    <row r="1890">
      <c r="B1890" s="9"/>
    </row>
    <row r="1891">
      <c r="B1891" s="9"/>
    </row>
    <row r="1892">
      <c r="B1892" s="9"/>
    </row>
    <row r="1893">
      <c r="B1893" s="9"/>
    </row>
    <row r="1894">
      <c r="B1894" s="9"/>
    </row>
    <row r="1895">
      <c r="B1895" s="9"/>
    </row>
    <row r="1896">
      <c r="B1896" s="9"/>
    </row>
    <row r="1897">
      <c r="B1897" s="9"/>
    </row>
    <row r="1898">
      <c r="B1898" s="9"/>
    </row>
    <row r="1899">
      <c r="B1899" s="9"/>
    </row>
    <row r="1900">
      <c r="B1900" s="9"/>
    </row>
    <row r="1901">
      <c r="B1901" s="9"/>
    </row>
    <row r="1902">
      <c r="B1902" s="9"/>
    </row>
    <row r="1903">
      <c r="B1903" s="9"/>
    </row>
    <row r="1904">
      <c r="B1904" s="9"/>
    </row>
    <row r="1905">
      <c r="B1905" s="9"/>
    </row>
    <row r="1906">
      <c r="B1906" s="9"/>
    </row>
    <row r="1907">
      <c r="B1907" s="9"/>
    </row>
    <row r="1908">
      <c r="B1908" s="9"/>
    </row>
    <row r="1909">
      <c r="B1909" s="9"/>
    </row>
    <row r="1910">
      <c r="B1910" s="9"/>
    </row>
    <row r="1911">
      <c r="B1911" s="9"/>
    </row>
    <row r="1912">
      <c r="B1912" s="9"/>
    </row>
    <row r="1913">
      <c r="B1913" s="9"/>
    </row>
    <row r="1914">
      <c r="B1914" s="9"/>
    </row>
    <row r="1915">
      <c r="B1915" s="9"/>
    </row>
    <row r="1916">
      <c r="B1916" s="9"/>
    </row>
    <row r="1917">
      <c r="B1917" s="9"/>
    </row>
    <row r="1918">
      <c r="B1918" s="9"/>
    </row>
    <row r="1919">
      <c r="B1919" s="9"/>
    </row>
    <row r="1920">
      <c r="B1920" s="9"/>
    </row>
    <row r="1921">
      <c r="B1921" s="9"/>
    </row>
    <row r="1922">
      <c r="B1922" s="9"/>
    </row>
    <row r="1923">
      <c r="B1923" s="9"/>
    </row>
    <row r="1924">
      <c r="B1924" s="9"/>
    </row>
    <row r="1925">
      <c r="B1925" s="9"/>
    </row>
    <row r="1926">
      <c r="B1926" s="9"/>
    </row>
    <row r="1927">
      <c r="B1927" s="9"/>
    </row>
    <row r="1928">
      <c r="B1928" s="9"/>
    </row>
    <row r="1929">
      <c r="B1929" s="9"/>
    </row>
    <row r="1930">
      <c r="B1930" s="9"/>
    </row>
    <row r="1931">
      <c r="B1931" s="9"/>
    </row>
    <row r="1932">
      <c r="B1932" s="9"/>
    </row>
    <row r="1933">
      <c r="B1933" s="9"/>
    </row>
    <row r="1934">
      <c r="B1934" s="9"/>
    </row>
    <row r="1935">
      <c r="B1935" s="9"/>
    </row>
    <row r="1936">
      <c r="B1936" s="9"/>
    </row>
    <row r="1937">
      <c r="B1937" s="9"/>
    </row>
    <row r="1938">
      <c r="B1938" s="9"/>
    </row>
    <row r="1939">
      <c r="B1939" s="9"/>
    </row>
    <row r="1940">
      <c r="B1940" s="9"/>
    </row>
    <row r="1941">
      <c r="B1941" s="9"/>
    </row>
    <row r="1942">
      <c r="B1942" s="9"/>
    </row>
    <row r="1943">
      <c r="B1943" s="9"/>
    </row>
    <row r="1944">
      <c r="B1944" s="9"/>
    </row>
    <row r="1945">
      <c r="B1945" s="9"/>
    </row>
    <row r="1946">
      <c r="B1946" s="9"/>
    </row>
    <row r="1947">
      <c r="B1947" s="9"/>
    </row>
    <row r="1948">
      <c r="B1948" s="9"/>
    </row>
    <row r="1949">
      <c r="B1949" s="9"/>
    </row>
    <row r="1950">
      <c r="B1950" s="9"/>
    </row>
    <row r="1951">
      <c r="B1951" s="9"/>
    </row>
    <row r="1952">
      <c r="B1952" s="9"/>
    </row>
    <row r="1953">
      <c r="B1953" s="9"/>
    </row>
    <row r="1954">
      <c r="B1954" s="9"/>
    </row>
    <row r="1955">
      <c r="B1955" s="9"/>
    </row>
    <row r="1956">
      <c r="B1956" s="9"/>
    </row>
    <row r="1957">
      <c r="B1957" s="9"/>
    </row>
    <row r="1958">
      <c r="B1958" s="9"/>
    </row>
    <row r="1959">
      <c r="B1959" s="9"/>
    </row>
    <row r="1960">
      <c r="B1960" s="9"/>
    </row>
    <row r="1961">
      <c r="B1961" s="9"/>
    </row>
    <row r="1962">
      <c r="B1962" s="9"/>
    </row>
    <row r="1963">
      <c r="B1963" s="9"/>
    </row>
    <row r="1964">
      <c r="B1964" s="9"/>
    </row>
    <row r="1965">
      <c r="B1965" s="9"/>
    </row>
    <row r="1966">
      <c r="B1966" s="9"/>
    </row>
    <row r="1967">
      <c r="B1967" s="9"/>
    </row>
    <row r="1968">
      <c r="B1968" s="9"/>
    </row>
    <row r="1969">
      <c r="B1969" s="9"/>
    </row>
    <row r="1970">
      <c r="B1970" s="9"/>
    </row>
    <row r="1971">
      <c r="B1971" s="9"/>
    </row>
    <row r="1972">
      <c r="B1972" s="9"/>
    </row>
    <row r="1973">
      <c r="B1973" s="9"/>
    </row>
    <row r="1974">
      <c r="B1974" s="9"/>
    </row>
    <row r="1975">
      <c r="B1975" s="9"/>
    </row>
    <row r="1976">
      <c r="B1976" s="9"/>
    </row>
    <row r="1977">
      <c r="B1977" s="9"/>
    </row>
    <row r="1978">
      <c r="B1978" s="9"/>
    </row>
    <row r="1979">
      <c r="B1979" s="9"/>
    </row>
    <row r="1980">
      <c r="B1980" s="9"/>
    </row>
    <row r="1981">
      <c r="B1981" s="9"/>
    </row>
    <row r="1982">
      <c r="B1982" s="9"/>
    </row>
    <row r="1983">
      <c r="B1983" s="9"/>
    </row>
    <row r="1984">
      <c r="B1984" s="9"/>
    </row>
    <row r="1985">
      <c r="B1985" s="9"/>
    </row>
    <row r="1986">
      <c r="B1986" s="9"/>
    </row>
    <row r="1987">
      <c r="B1987" s="9"/>
    </row>
    <row r="1988">
      <c r="B1988" s="9"/>
    </row>
    <row r="1989">
      <c r="B1989" s="9"/>
    </row>
    <row r="1990">
      <c r="B1990" s="9"/>
    </row>
    <row r="1991">
      <c r="B1991" s="9"/>
    </row>
    <row r="1992">
      <c r="B1992" s="9"/>
    </row>
    <row r="1993">
      <c r="B1993" s="9"/>
    </row>
    <row r="1994">
      <c r="B1994" s="9"/>
    </row>
    <row r="1995">
      <c r="B1995" s="9"/>
    </row>
    <row r="1996">
      <c r="B1996" s="9"/>
    </row>
    <row r="1997">
      <c r="B1997" s="9"/>
    </row>
    <row r="1998">
      <c r="B1998" s="9"/>
    </row>
    <row r="1999">
      <c r="B1999" s="9"/>
    </row>
    <row r="2000">
      <c r="B2000" s="9"/>
    </row>
    <row r="2001">
      <c r="B2001" s="9"/>
    </row>
    <row r="2002">
      <c r="B2002" s="9"/>
    </row>
    <row r="2003">
      <c r="B2003" s="9"/>
    </row>
    <row r="2004">
      <c r="B2004" s="9"/>
    </row>
    <row r="2005">
      <c r="B2005" s="9"/>
    </row>
    <row r="2006">
      <c r="B2006" s="9"/>
    </row>
  </sheetData>
  <autoFilter ref="$J$1:$L$188">
    <filterColumn colId="2">
      <filters>
        <filter val="44022"/>
        <filter val="9187"/>
        <filter val="18418"/>
        <filter val="148011"/>
        <filter val="33408"/>
        <filter val="9125"/>
        <filter val="87618"/>
        <filter val="28432"/>
        <filter val="8944"/>
        <filter val="45844"/>
        <filter val="9822"/>
        <filter val="35112"/>
        <filter val="30212"/>
        <filter val="13334"/>
        <filter val="15912"/>
      </filters>
    </filterColumn>
    <sortState ref="J1:L188">
      <sortCondition descending="1" ref="L1:L18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7.88"/>
    <col customWidth="1" min="3" max="3" width="22.38"/>
    <col customWidth="1" min="4" max="4" width="29.25"/>
    <col customWidth="1" min="5" max="5" width="22.25"/>
    <col customWidth="1" min="6" max="6" width="30.25"/>
    <col customWidth="1" min="7" max="7" width="19.63"/>
    <col customWidth="1" min="8" max="8" width="30.38"/>
    <col customWidth="1" min="9" max="9" width="20.25"/>
    <col customWidth="1" min="10" max="10" width="30.88"/>
  </cols>
  <sheetData>
    <row r="1" ht="102.0" customHeight="1">
      <c r="A1" s="11" t="s">
        <v>206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24.0" customHeight="1"/>
    <row r="3" ht="29.25" customHeight="1">
      <c r="B3" s="13" t="s">
        <v>207</v>
      </c>
      <c r="C3" s="14"/>
      <c r="D3" s="13" t="s">
        <v>208</v>
      </c>
      <c r="F3" s="13" t="s">
        <v>209</v>
      </c>
      <c r="H3" s="13" t="s">
        <v>210</v>
      </c>
      <c r="J3" s="13" t="s">
        <v>211</v>
      </c>
    </row>
    <row r="4" ht="45.0" customHeight="1">
      <c r="B4" s="15">
        <f>SUM(Data!C:C)/SUM(Data!B:B)</f>
        <v>0.03968548256</v>
      </c>
      <c r="C4" s="14"/>
      <c r="D4" s="15">
        <f>SUM(Data!D:D)/SUM(Data!B:B)</f>
        <v>0.5745029348</v>
      </c>
      <c r="F4" s="15">
        <f>SUM(Data!E:E)/SUM(Data!B:B)</f>
        <v>0.3858115826</v>
      </c>
      <c r="H4" s="16" t="s">
        <v>14</v>
      </c>
      <c r="J4" s="17" t="str">
        <f t="array" ref="J4">INDEX(Data!A:A,MATCH(MAX(Data!K:K),Data!K:K,0))</f>
        <v>Yemen</v>
      </c>
    </row>
  </sheetData>
  <drawing r:id="rId1"/>
</worksheet>
</file>